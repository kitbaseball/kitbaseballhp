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home\user\野球部\"/>
    </mc:Choice>
  </mc:AlternateContent>
  <xr:revisionPtr revIDLastSave="0" documentId="8_{C168A4D0-FEC8-4855-A318-3FA701CF36F9}" xr6:coauthVersionLast="47" xr6:coauthVersionMax="47" xr10:uidLastSave="{00000000-0000-0000-0000-000000000000}"/>
  <bookViews>
    <workbookView xWindow="3427" yWindow="1065" windowWidth="14400" windowHeight="9645" tabRatio="685" activeTab="4" xr2:uid="{551C81AF-860F-4F06-8AB2-DB5884B0065E}"/>
  </bookViews>
  <sheets>
    <sheet name="操作シート" sheetId="57" r:id="rId1"/>
    <sheet name="通算成績" sheetId="55" r:id="rId2"/>
    <sheet name="指標" sheetId="42" r:id="rId3"/>
    <sheet name="テンプレート" sheetId="1" state="hidden" r:id="rId4"/>
    <sheet name="データ" sheetId="2" r:id="rId5"/>
    <sheet name="2025.2.27九州工業大学（戸畑）②" sheetId="63" state="hidden" r:id="rId6"/>
    <sheet name="2025.2.27九州工業大学（戸畑）①" sheetId="62" state="hidden" r:id="rId7"/>
    <sheet name="2025.2.22Gold Nuts" sheetId="61" state="hidden" r:id="rId8"/>
    <sheet name="2024.10.26北九州市立" sheetId="60" state="hidden" r:id="rId9"/>
    <sheet name="2024.10.26福岡工業" sheetId="59" state="hidden" r:id="rId10"/>
    <sheet name="2024.10.12九州" sheetId="58" state="hidden" r:id="rId11"/>
    <sheet name="2024.7.6北九州Oruris" sheetId="56" state="hidden" r:id="rId12"/>
    <sheet name="2024.6.16西日本工業" sheetId="53" state="hidden" r:id="rId13"/>
    <sheet name="2024.6.16西九州" sheetId="52" state="hidden" r:id="rId14"/>
    <sheet name="2024.6.15福岡工業" sheetId="51" state="hidden" r:id="rId15"/>
    <sheet name="2024.5.25九州" sheetId="49" state="hidden" r:id="rId16"/>
    <sheet name="2024.5.25中村学園" sheetId="48" state="hidden" r:id="rId17"/>
    <sheet name="2024.5.3北九州市立②" sheetId="47" state="hidden" r:id="rId18"/>
    <sheet name="2024.5.3北九州市立①" sheetId="46" state="hidden" r:id="rId19"/>
    <sheet name="2024.4.20九州産業" sheetId="43" state="hidden" r:id="rId20"/>
    <sheet name="2024.4.13北九州市立" sheetId="40" state="hidden" r:id="rId21"/>
    <sheet name="2023.10.21九州共立" sheetId="39" state="hidden" r:id="rId22"/>
    <sheet name="2023.10.21九州産業" sheetId="38" state="hidden" r:id="rId23"/>
    <sheet name="2023.10.14北九州市立" sheetId="35" state="hidden" r:id="rId24"/>
  </sheets>
  <definedNames>
    <definedName name="_xlnm._FilterDatabase" localSheetId="4" hidden="1">データ!$B$19:$C$59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C67" i="1" s="1"/>
  <c r="D68" i="1"/>
  <c r="C68" i="1" s="1"/>
  <c r="D69" i="1"/>
  <c r="C69" i="1" s="1"/>
  <c r="D70" i="1"/>
  <c r="C70" i="1" s="1"/>
  <c r="D64" i="1"/>
  <c r="C64" i="1" s="1"/>
  <c r="D65" i="1"/>
  <c r="C65" i="1" s="1"/>
  <c r="D66" i="1"/>
  <c r="C66" i="1" s="1"/>
  <c r="D42" i="35"/>
  <c r="C42" i="35" s="1"/>
  <c r="D43" i="35"/>
  <c r="C43" i="35" s="1"/>
  <c r="D44" i="35"/>
  <c r="C44" i="35" s="1"/>
  <c r="D45" i="35"/>
  <c r="C45" i="35" s="1"/>
  <c r="D46" i="35"/>
  <c r="C46" i="35" s="1"/>
  <c r="D47" i="35"/>
  <c r="C47" i="35" s="1"/>
  <c r="D48" i="35"/>
  <c r="C48" i="35" s="1"/>
  <c r="D49" i="35"/>
  <c r="C49" i="35" s="1"/>
  <c r="D50" i="35"/>
  <c r="C50" i="35" s="1"/>
  <c r="D51" i="35"/>
  <c r="C51" i="35" s="1"/>
  <c r="D52" i="35"/>
  <c r="C52" i="35" s="1"/>
  <c r="D53" i="35"/>
  <c r="C53" i="35" s="1"/>
  <c r="D54" i="35"/>
  <c r="C54" i="35" s="1"/>
  <c r="D55" i="35"/>
  <c r="C55" i="35" s="1"/>
  <c r="D56" i="35"/>
  <c r="C56" i="35" s="1"/>
  <c r="D57" i="35"/>
  <c r="C57" i="35" s="1"/>
  <c r="D58" i="35"/>
  <c r="C58" i="35" s="1"/>
  <c r="D59" i="35"/>
  <c r="C59" i="35" s="1"/>
  <c r="D60" i="35"/>
  <c r="C60" i="35" s="1"/>
  <c r="D61" i="35"/>
  <c r="C61" i="35" s="1"/>
  <c r="D62" i="35"/>
  <c r="C62" i="35" s="1"/>
  <c r="D63" i="35"/>
  <c r="C63" i="35" s="1"/>
  <c r="D64" i="35"/>
  <c r="C64" i="35" s="1"/>
  <c r="D65" i="35"/>
  <c r="C65" i="35" s="1"/>
  <c r="D66" i="35"/>
  <c r="C66" i="35" s="1"/>
  <c r="D67" i="35"/>
  <c r="C67" i="35" s="1"/>
  <c r="D68" i="35"/>
  <c r="C68" i="35" s="1"/>
  <c r="D69" i="35"/>
  <c r="C69" i="35" s="1"/>
  <c r="D70" i="35"/>
  <c r="C70" i="35" s="1"/>
  <c r="D42" i="38"/>
  <c r="C42" i="38" s="1"/>
  <c r="D43" i="38"/>
  <c r="C43" i="38" s="1"/>
  <c r="D44" i="38"/>
  <c r="C44" i="38" s="1"/>
  <c r="D45" i="38"/>
  <c r="C45" i="38" s="1"/>
  <c r="D46" i="38"/>
  <c r="C46" i="38" s="1"/>
  <c r="D47" i="38"/>
  <c r="C47" i="38" s="1"/>
  <c r="D48" i="38"/>
  <c r="C48" i="38" s="1"/>
  <c r="D49" i="38"/>
  <c r="C49" i="38" s="1"/>
  <c r="D50" i="38"/>
  <c r="C50" i="38" s="1"/>
  <c r="D51" i="38"/>
  <c r="C51" i="38" s="1"/>
  <c r="D52" i="38"/>
  <c r="C52" i="38" s="1"/>
  <c r="D53" i="38"/>
  <c r="C53" i="38" s="1"/>
  <c r="D54" i="38"/>
  <c r="C54" i="38" s="1"/>
  <c r="D55" i="38"/>
  <c r="C55" i="38" s="1"/>
  <c r="D56" i="38"/>
  <c r="C56" i="38" s="1"/>
  <c r="D57" i="38"/>
  <c r="C57" i="38" s="1"/>
  <c r="D58" i="38"/>
  <c r="C58" i="38" s="1"/>
  <c r="D59" i="38"/>
  <c r="C59" i="38" s="1"/>
  <c r="D60" i="38"/>
  <c r="C60" i="38" s="1"/>
  <c r="D61" i="38"/>
  <c r="C61" i="38" s="1"/>
  <c r="D62" i="38"/>
  <c r="C62" i="38" s="1"/>
  <c r="D63" i="38"/>
  <c r="C63" i="38" s="1"/>
  <c r="D64" i="38"/>
  <c r="C64" i="38" s="1"/>
  <c r="D65" i="38"/>
  <c r="C65" i="38" s="1"/>
  <c r="D66" i="38"/>
  <c r="C66" i="38" s="1"/>
  <c r="D67" i="38"/>
  <c r="C67" i="38" s="1"/>
  <c r="D68" i="38"/>
  <c r="C68" i="38" s="1"/>
  <c r="D69" i="38"/>
  <c r="C69" i="38" s="1"/>
  <c r="D70" i="38"/>
  <c r="C70" i="38" s="1"/>
  <c r="D42" i="39"/>
  <c r="C42" i="39" s="1"/>
  <c r="D43" i="39"/>
  <c r="C43" i="39" s="1"/>
  <c r="D44" i="39"/>
  <c r="C44" i="39" s="1"/>
  <c r="D45" i="39"/>
  <c r="C45" i="39" s="1"/>
  <c r="D46" i="39"/>
  <c r="C46" i="39" s="1"/>
  <c r="D47" i="39"/>
  <c r="C47" i="39" s="1"/>
  <c r="D48" i="39"/>
  <c r="C48" i="39" s="1"/>
  <c r="D49" i="39"/>
  <c r="C49" i="39" s="1"/>
  <c r="D50" i="39"/>
  <c r="C50" i="39" s="1"/>
  <c r="D51" i="39"/>
  <c r="C51" i="39" s="1"/>
  <c r="D52" i="39"/>
  <c r="C52" i="39" s="1"/>
  <c r="D53" i="39"/>
  <c r="C53" i="39" s="1"/>
  <c r="D54" i="39"/>
  <c r="C54" i="39" s="1"/>
  <c r="D55" i="39"/>
  <c r="C55" i="39" s="1"/>
  <c r="D56" i="39"/>
  <c r="C56" i="39" s="1"/>
  <c r="D57" i="39"/>
  <c r="C57" i="39" s="1"/>
  <c r="D58" i="39"/>
  <c r="C58" i="39" s="1"/>
  <c r="D59" i="39"/>
  <c r="C59" i="39" s="1"/>
  <c r="D60" i="39"/>
  <c r="C60" i="39" s="1"/>
  <c r="D61" i="39"/>
  <c r="C61" i="39" s="1"/>
  <c r="D62" i="39"/>
  <c r="C62" i="39" s="1"/>
  <c r="D63" i="39"/>
  <c r="C63" i="39" s="1"/>
  <c r="D64" i="39"/>
  <c r="C64" i="39" s="1"/>
  <c r="D65" i="39"/>
  <c r="C65" i="39" s="1"/>
  <c r="D66" i="39"/>
  <c r="C66" i="39" s="1"/>
  <c r="D67" i="39"/>
  <c r="C67" i="39" s="1"/>
  <c r="D68" i="39"/>
  <c r="C68" i="39" s="1"/>
  <c r="D69" i="39"/>
  <c r="C69" i="39" s="1"/>
  <c r="D70" i="39"/>
  <c r="C70" i="39" s="1"/>
  <c r="D42" i="40"/>
  <c r="C42" i="40" s="1"/>
  <c r="D43" i="40"/>
  <c r="C43" i="40" s="1"/>
  <c r="D44" i="40"/>
  <c r="C44" i="40" s="1"/>
  <c r="D45" i="40"/>
  <c r="C45" i="40" s="1"/>
  <c r="D46" i="40"/>
  <c r="C46" i="40" s="1"/>
  <c r="D47" i="40"/>
  <c r="C47" i="40" s="1"/>
  <c r="D48" i="40"/>
  <c r="C48" i="40" s="1"/>
  <c r="D49" i="40"/>
  <c r="C49" i="40" s="1"/>
  <c r="D50" i="40"/>
  <c r="C50" i="40" s="1"/>
  <c r="D51" i="40"/>
  <c r="C51" i="40" s="1"/>
  <c r="D52" i="40"/>
  <c r="C52" i="40" s="1"/>
  <c r="D53" i="40"/>
  <c r="C53" i="40" s="1"/>
  <c r="D54" i="40"/>
  <c r="C54" i="40" s="1"/>
  <c r="D55" i="40"/>
  <c r="C55" i="40" s="1"/>
  <c r="D56" i="40"/>
  <c r="C56" i="40" s="1"/>
  <c r="D57" i="40"/>
  <c r="C57" i="40" s="1"/>
  <c r="D58" i="40"/>
  <c r="C58" i="40" s="1"/>
  <c r="D59" i="40"/>
  <c r="C59" i="40" s="1"/>
  <c r="D60" i="40"/>
  <c r="C60" i="40" s="1"/>
  <c r="D61" i="40"/>
  <c r="C61" i="40" s="1"/>
  <c r="D62" i="40"/>
  <c r="C62" i="40" s="1"/>
  <c r="D63" i="40"/>
  <c r="C63" i="40" s="1"/>
  <c r="D64" i="40"/>
  <c r="C64" i="40" s="1"/>
  <c r="D65" i="40"/>
  <c r="C65" i="40" s="1"/>
  <c r="D66" i="40"/>
  <c r="C66" i="40" s="1"/>
  <c r="D67" i="40"/>
  <c r="C67" i="40" s="1"/>
  <c r="D68" i="40"/>
  <c r="C68" i="40" s="1"/>
  <c r="D69" i="40"/>
  <c r="C69" i="40" s="1"/>
  <c r="D70" i="40"/>
  <c r="C70" i="40" s="1"/>
  <c r="D42" i="43"/>
  <c r="C42" i="43" s="1"/>
  <c r="D43" i="43"/>
  <c r="C43" i="43" s="1"/>
  <c r="D44" i="43"/>
  <c r="C44" i="43" s="1"/>
  <c r="D45" i="43"/>
  <c r="C45" i="43" s="1"/>
  <c r="D46" i="43"/>
  <c r="C46" i="43" s="1"/>
  <c r="D47" i="43"/>
  <c r="C47" i="43" s="1"/>
  <c r="D48" i="43"/>
  <c r="C48" i="43" s="1"/>
  <c r="D49" i="43"/>
  <c r="C49" i="43" s="1"/>
  <c r="D50" i="43"/>
  <c r="C50" i="43" s="1"/>
  <c r="D51" i="43"/>
  <c r="C51" i="43" s="1"/>
  <c r="D52" i="43"/>
  <c r="C52" i="43" s="1"/>
  <c r="D53" i="43"/>
  <c r="C53" i="43" s="1"/>
  <c r="D54" i="43"/>
  <c r="C54" i="43" s="1"/>
  <c r="D55" i="43"/>
  <c r="C55" i="43" s="1"/>
  <c r="D56" i="43"/>
  <c r="C56" i="43" s="1"/>
  <c r="D57" i="43"/>
  <c r="C57" i="43" s="1"/>
  <c r="D58" i="43"/>
  <c r="C58" i="43" s="1"/>
  <c r="D59" i="43"/>
  <c r="C59" i="43" s="1"/>
  <c r="D60" i="43"/>
  <c r="C60" i="43" s="1"/>
  <c r="D61" i="43"/>
  <c r="C61" i="43" s="1"/>
  <c r="D62" i="43"/>
  <c r="C62" i="43" s="1"/>
  <c r="D63" i="43"/>
  <c r="C63" i="43" s="1"/>
  <c r="D64" i="43"/>
  <c r="C64" i="43" s="1"/>
  <c r="D65" i="43"/>
  <c r="C65" i="43" s="1"/>
  <c r="D66" i="43"/>
  <c r="C66" i="43" s="1"/>
  <c r="D67" i="43"/>
  <c r="C67" i="43" s="1"/>
  <c r="D68" i="43"/>
  <c r="C68" i="43" s="1"/>
  <c r="D69" i="43"/>
  <c r="C69" i="43" s="1"/>
  <c r="D70" i="43"/>
  <c r="C70" i="43" s="1"/>
  <c r="D42" i="46"/>
  <c r="C42" i="46" s="1"/>
  <c r="D43" i="46"/>
  <c r="C43" i="46" s="1"/>
  <c r="D44" i="46"/>
  <c r="C44" i="46" s="1"/>
  <c r="D45" i="46"/>
  <c r="C45" i="46" s="1"/>
  <c r="D46" i="46"/>
  <c r="C46" i="46" s="1"/>
  <c r="D47" i="46"/>
  <c r="C47" i="46" s="1"/>
  <c r="D48" i="46"/>
  <c r="C48" i="46" s="1"/>
  <c r="D49" i="46"/>
  <c r="C49" i="46" s="1"/>
  <c r="D50" i="46"/>
  <c r="C50" i="46" s="1"/>
  <c r="D51" i="46"/>
  <c r="C51" i="46" s="1"/>
  <c r="D52" i="46"/>
  <c r="C52" i="46" s="1"/>
  <c r="D53" i="46"/>
  <c r="C53" i="46" s="1"/>
  <c r="D54" i="46"/>
  <c r="C54" i="46" s="1"/>
  <c r="D55" i="46"/>
  <c r="C55" i="46" s="1"/>
  <c r="D56" i="46"/>
  <c r="C56" i="46" s="1"/>
  <c r="D57" i="46"/>
  <c r="C57" i="46" s="1"/>
  <c r="D58" i="46"/>
  <c r="C58" i="46" s="1"/>
  <c r="D59" i="46"/>
  <c r="C59" i="46" s="1"/>
  <c r="D60" i="46"/>
  <c r="C60" i="46" s="1"/>
  <c r="D61" i="46"/>
  <c r="C61" i="46" s="1"/>
  <c r="D62" i="46"/>
  <c r="C62" i="46" s="1"/>
  <c r="D63" i="46"/>
  <c r="C63" i="46" s="1"/>
  <c r="D64" i="46"/>
  <c r="C64" i="46" s="1"/>
  <c r="D65" i="46"/>
  <c r="C65" i="46" s="1"/>
  <c r="D66" i="46"/>
  <c r="C66" i="46" s="1"/>
  <c r="D67" i="46"/>
  <c r="C67" i="46" s="1"/>
  <c r="D68" i="46"/>
  <c r="C68" i="46" s="1"/>
  <c r="D69" i="46"/>
  <c r="C69" i="46" s="1"/>
  <c r="D70" i="46"/>
  <c r="C70" i="46" s="1"/>
  <c r="D64" i="47"/>
  <c r="C64" i="47" s="1"/>
  <c r="D65" i="47"/>
  <c r="C65" i="47" s="1"/>
  <c r="D66" i="47"/>
  <c r="C66" i="47" s="1"/>
  <c r="D67" i="47"/>
  <c r="C67" i="47" s="1"/>
  <c r="D68" i="47"/>
  <c r="C68" i="47" s="1"/>
  <c r="D69" i="47"/>
  <c r="C69" i="47" s="1"/>
  <c r="D70" i="47"/>
  <c r="C70" i="47" s="1"/>
  <c r="D42" i="48"/>
  <c r="C42" i="48" s="1"/>
  <c r="D43" i="48"/>
  <c r="C43" i="48" s="1"/>
  <c r="D44" i="48"/>
  <c r="C44" i="48" s="1"/>
  <c r="D45" i="48"/>
  <c r="C45" i="48" s="1"/>
  <c r="D46" i="48"/>
  <c r="C46" i="48" s="1"/>
  <c r="D47" i="48"/>
  <c r="C47" i="48" s="1"/>
  <c r="D48" i="48"/>
  <c r="C48" i="48" s="1"/>
  <c r="D49" i="48"/>
  <c r="C49" i="48" s="1"/>
  <c r="D50" i="48"/>
  <c r="C50" i="48" s="1"/>
  <c r="D51" i="48"/>
  <c r="C51" i="48" s="1"/>
  <c r="D52" i="48"/>
  <c r="C52" i="48" s="1"/>
  <c r="D53" i="48"/>
  <c r="C53" i="48" s="1"/>
  <c r="D54" i="48"/>
  <c r="C54" i="48" s="1"/>
  <c r="D55" i="48"/>
  <c r="C55" i="48" s="1"/>
  <c r="D56" i="48"/>
  <c r="C56" i="48" s="1"/>
  <c r="D57" i="48"/>
  <c r="C57" i="48" s="1"/>
  <c r="D58" i="48"/>
  <c r="C58" i="48" s="1"/>
  <c r="D59" i="48"/>
  <c r="C59" i="48" s="1"/>
  <c r="D60" i="48"/>
  <c r="C60" i="48" s="1"/>
  <c r="D61" i="48"/>
  <c r="C61" i="48" s="1"/>
  <c r="D62" i="48"/>
  <c r="C62" i="48" s="1"/>
  <c r="D63" i="48"/>
  <c r="C63" i="48" s="1"/>
  <c r="D64" i="48"/>
  <c r="C64" i="48" s="1"/>
  <c r="D65" i="48"/>
  <c r="C65" i="48" s="1"/>
  <c r="D66" i="48"/>
  <c r="C66" i="48" s="1"/>
  <c r="D67" i="48"/>
  <c r="C67" i="48" s="1"/>
  <c r="D68" i="48"/>
  <c r="C68" i="48" s="1"/>
  <c r="D69" i="48"/>
  <c r="C69" i="48" s="1"/>
  <c r="D70" i="48"/>
  <c r="C70" i="48" s="1"/>
  <c r="D42" i="49"/>
  <c r="C42" i="49" s="1"/>
  <c r="D43" i="49"/>
  <c r="C43" i="49" s="1"/>
  <c r="D44" i="49"/>
  <c r="C44" i="49" s="1"/>
  <c r="D45" i="49"/>
  <c r="C45" i="49" s="1"/>
  <c r="D46" i="49"/>
  <c r="C46" i="49" s="1"/>
  <c r="D47" i="49"/>
  <c r="C47" i="49" s="1"/>
  <c r="D48" i="49"/>
  <c r="C48" i="49" s="1"/>
  <c r="D49" i="49"/>
  <c r="C49" i="49" s="1"/>
  <c r="D50" i="49"/>
  <c r="C50" i="49" s="1"/>
  <c r="D51" i="49"/>
  <c r="C51" i="49" s="1"/>
  <c r="D52" i="49"/>
  <c r="C52" i="49" s="1"/>
  <c r="D53" i="49"/>
  <c r="C53" i="49" s="1"/>
  <c r="D54" i="49"/>
  <c r="C54" i="49" s="1"/>
  <c r="D55" i="49"/>
  <c r="C55" i="49" s="1"/>
  <c r="D56" i="49"/>
  <c r="C56" i="49" s="1"/>
  <c r="D57" i="49"/>
  <c r="C57" i="49" s="1"/>
  <c r="D58" i="49"/>
  <c r="C58" i="49" s="1"/>
  <c r="D59" i="49"/>
  <c r="C59" i="49" s="1"/>
  <c r="D60" i="49"/>
  <c r="C60" i="49" s="1"/>
  <c r="D61" i="49"/>
  <c r="C61" i="49" s="1"/>
  <c r="D62" i="49"/>
  <c r="C62" i="49" s="1"/>
  <c r="D63" i="49"/>
  <c r="C63" i="49" s="1"/>
  <c r="D64" i="49"/>
  <c r="C64" i="49" s="1"/>
  <c r="D65" i="49"/>
  <c r="C65" i="49" s="1"/>
  <c r="D66" i="49"/>
  <c r="C66" i="49" s="1"/>
  <c r="D67" i="49"/>
  <c r="C67" i="49" s="1"/>
  <c r="D68" i="49"/>
  <c r="C68" i="49" s="1"/>
  <c r="D69" i="49"/>
  <c r="C69" i="49" s="1"/>
  <c r="D70" i="49"/>
  <c r="C70" i="49" s="1"/>
  <c r="D42" i="51"/>
  <c r="C42" i="51" s="1"/>
  <c r="D43" i="51"/>
  <c r="C43" i="51" s="1"/>
  <c r="D44" i="51"/>
  <c r="C44" i="51" s="1"/>
  <c r="D45" i="51"/>
  <c r="C45" i="51" s="1"/>
  <c r="D46" i="51"/>
  <c r="C46" i="51" s="1"/>
  <c r="D47" i="51"/>
  <c r="C47" i="51" s="1"/>
  <c r="D48" i="51"/>
  <c r="C48" i="51" s="1"/>
  <c r="D49" i="51"/>
  <c r="C49" i="51" s="1"/>
  <c r="D50" i="51"/>
  <c r="C50" i="51" s="1"/>
  <c r="D51" i="51"/>
  <c r="C51" i="51" s="1"/>
  <c r="D52" i="51"/>
  <c r="C52" i="51" s="1"/>
  <c r="D53" i="51"/>
  <c r="C53" i="51" s="1"/>
  <c r="D54" i="51"/>
  <c r="C54" i="51" s="1"/>
  <c r="D55" i="51"/>
  <c r="C55" i="51" s="1"/>
  <c r="D56" i="51"/>
  <c r="C56" i="51" s="1"/>
  <c r="D57" i="51"/>
  <c r="C57" i="51" s="1"/>
  <c r="D58" i="51"/>
  <c r="C58" i="51" s="1"/>
  <c r="D59" i="51"/>
  <c r="C59" i="51" s="1"/>
  <c r="D60" i="51"/>
  <c r="C60" i="51" s="1"/>
  <c r="D61" i="51"/>
  <c r="C61" i="51" s="1"/>
  <c r="D62" i="51"/>
  <c r="C62" i="51" s="1"/>
  <c r="D63" i="51"/>
  <c r="C63" i="51" s="1"/>
  <c r="D64" i="51"/>
  <c r="C64" i="51" s="1"/>
  <c r="D65" i="51"/>
  <c r="C65" i="51" s="1"/>
  <c r="D66" i="51"/>
  <c r="C66" i="51" s="1"/>
  <c r="D67" i="51"/>
  <c r="C67" i="51" s="1"/>
  <c r="D68" i="51"/>
  <c r="C68" i="51" s="1"/>
  <c r="D69" i="51"/>
  <c r="C69" i="51" s="1"/>
  <c r="D70" i="51"/>
  <c r="C70" i="51" s="1"/>
  <c r="D43" i="52"/>
  <c r="C43" i="52" s="1"/>
  <c r="D44" i="52"/>
  <c r="C44" i="52" s="1"/>
  <c r="D45" i="52"/>
  <c r="C45" i="52" s="1"/>
  <c r="D46" i="52"/>
  <c r="C46" i="52" s="1"/>
  <c r="D47" i="52"/>
  <c r="C47" i="52" s="1"/>
  <c r="D48" i="52"/>
  <c r="C48" i="52" s="1"/>
  <c r="D49" i="52"/>
  <c r="C49" i="52" s="1"/>
  <c r="D50" i="52"/>
  <c r="C50" i="52" s="1"/>
  <c r="D51" i="52"/>
  <c r="C51" i="52" s="1"/>
  <c r="D52" i="52"/>
  <c r="C52" i="52" s="1"/>
  <c r="D53" i="52"/>
  <c r="C53" i="52" s="1"/>
  <c r="D54" i="52"/>
  <c r="C54" i="52" s="1"/>
  <c r="D55" i="52"/>
  <c r="C55" i="52" s="1"/>
  <c r="D56" i="52"/>
  <c r="C56" i="52" s="1"/>
  <c r="D57" i="52"/>
  <c r="C57" i="52" s="1"/>
  <c r="D58" i="52"/>
  <c r="C58" i="52" s="1"/>
  <c r="D59" i="52"/>
  <c r="C59" i="52" s="1"/>
  <c r="D60" i="52"/>
  <c r="C60" i="52" s="1"/>
  <c r="D61" i="52"/>
  <c r="C61" i="52" s="1"/>
  <c r="D62" i="52"/>
  <c r="C62" i="52" s="1"/>
  <c r="D63" i="52"/>
  <c r="C63" i="52" s="1"/>
  <c r="D64" i="52"/>
  <c r="C64" i="52" s="1"/>
  <c r="D65" i="52"/>
  <c r="C65" i="52" s="1"/>
  <c r="D66" i="52"/>
  <c r="C66" i="52" s="1"/>
  <c r="D67" i="52"/>
  <c r="C67" i="52" s="1"/>
  <c r="D68" i="52"/>
  <c r="C68" i="52" s="1"/>
  <c r="D69" i="52"/>
  <c r="C69" i="52" s="1"/>
  <c r="D70" i="52"/>
  <c r="C70" i="52" s="1"/>
  <c r="D42" i="53"/>
  <c r="C42" i="53" s="1"/>
  <c r="D43" i="53"/>
  <c r="C43" i="53" s="1"/>
  <c r="D44" i="53"/>
  <c r="C44" i="53" s="1"/>
  <c r="D45" i="53"/>
  <c r="C45" i="53" s="1"/>
  <c r="D46" i="53"/>
  <c r="C46" i="53" s="1"/>
  <c r="D47" i="53"/>
  <c r="C47" i="53" s="1"/>
  <c r="D48" i="53"/>
  <c r="C48" i="53" s="1"/>
  <c r="D49" i="53"/>
  <c r="C49" i="53" s="1"/>
  <c r="D50" i="53"/>
  <c r="C50" i="53" s="1"/>
  <c r="D51" i="53"/>
  <c r="C51" i="53" s="1"/>
  <c r="D52" i="53"/>
  <c r="C52" i="53" s="1"/>
  <c r="D53" i="53"/>
  <c r="C53" i="53" s="1"/>
  <c r="D54" i="53"/>
  <c r="C54" i="53" s="1"/>
  <c r="D55" i="53"/>
  <c r="C55" i="53" s="1"/>
  <c r="D56" i="53"/>
  <c r="C56" i="53" s="1"/>
  <c r="D57" i="53"/>
  <c r="C57" i="53" s="1"/>
  <c r="D58" i="53"/>
  <c r="C58" i="53" s="1"/>
  <c r="D59" i="53"/>
  <c r="C59" i="53" s="1"/>
  <c r="D60" i="53"/>
  <c r="C60" i="53" s="1"/>
  <c r="D61" i="53"/>
  <c r="C61" i="53" s="1"/>
  <c r="D62" i="53"/>
  <c r="C62" i="53" s="1"/>
  <c r="D63" i="53"/>
  <c r="C63" i="53" s="1"/>
  <c r="D64" i="53"/>
  <c r="C64" i="53" s="1"/>
  <c r="D65" i="53"/>
  <c r="C65" i="53" s="1"/>
  <c r="D66" i="53"/>
  <c r="C66" i="53" s="1"/>
  <c r="D67" i="53"/>
  <c r="C67" i="53" s="1"/>
  <c r="D68" i="53"/>
  <c r="C68" i="53" s="1"/>
  <c r="D69" i="53"/>
  <c r="C69" i="53" s="1"/>
  <c r="D70" i="53"/>
  <c r="C70" i="53" s="1"/>
  <c r="D42" i="56"/>
  <c r="C42" i="56" s="1"/>
  <c r="D43" i="56"/>
  <c r="C43" i="56" s="1"/>
  <c r="D44" i="56"/>
  <c r="C44" i="56" s="1"/>
  <c r="D45" i="56"/>
  <c r="C45" i="56" s="1"/>
  <c r="D46" i="56"/>
  <c r="C46" i="56" s="1"/>
  <c r="D47" i="56"/>
  <c r="C47" i="56" s="1"/>
  <c r="D48" i="56"/>
  <c r="C48" i="56" s="1"/>
  <c r="D49" i="56"/>
  <c r="C49" i="56" s="1"/>
  <c r="D50" i="56"/>
  <c r="C50" i="56" s="1"/>
  <c r="D51" i="56"/>
  <c r="C51" i="56" s="1"/>
  <c r="D52" i="56"/>
  <c r="C52" i="56" s="1"/>
  <c r="D53" i="56"/>
  <c r="C53" i="56" s="1"/>
  <c r="D54" i="56"/>
  <c r="C54" i="56" s="1"/>
  <c r="D55" i="56"/>
  <c r="C55" i="56" s="1"/>
  <c r="D56" i="56"/>
  <c r="C56" i="56" s="1"/>
  <c r="D57" i="56"/>
  <c r="C57" i="56" s="1"/>
  <c r="D58" i="56"/>
  <c r="C58" i="56" s="1"/>
  <c r="D59" i="56"/>
  <c r="C59" i="56" s="1"/>
  <c r="D60" i="56"/>
  <c r="C60" i="56" s="1"/>
  <c r="D61" i="56"/>
  <c r="C61" i="56" s="1"/>
  <c r="D62" i="56"/>
  <c r="C62" i="56" s="1"/>
  <c r="D63" i="56"/>
  <c r="C63" i="56" s="1"/>
  <c r="D64" i="56"/>
  <c r="C64" i="56" s="1"/>
  <c r="D65" i="56"/>
  <c r="C65" i="56" s="1"/>
  <c r="D66" i="56"/>
  <c r="C66" i="56" s="1"/>
  <c r="D67" i="56"/>
  <c r="C67" i="56" s="1"/>
  <c r="D68" i="56"/>
  <c r="C68" i="56" s="1"/>
  <c r="D69" i="56"/>
  <c r="C69" i="56" s="1"/>
  <c r="D70" i="56"/>
  <c r="C70" i="56" s="1"/>
  <c r="D42" i="58"/>
  <c r="C42" i="58" s="1"/>
  <c r="D43" i="58"/>
  <c r="C43" i="58" s="1"/>
  <c r="D44" i="58"/>
  <c r="C44" i="58" s="1"/>
  <c r="D45" i="58"/>
  <c r="C45" i="58" s="1"/>
  <c r="D46" i="58"/>
  <c r="C46" i="58" s="1"/>
  <c r="D47" i="58"/>
  <c r="C47" i="58" s="1"/>
  <c r="D48" i="58"/>
  <c r="C48" i="58" s="1"/>
  <c r="D49" i="58"/>
  <c r="C49" i="58" s="1"/>
  <c r="D50" i="58"/>
  <c r="C50" i="58" s="1"/>
  <c r="D51" i="58"/>
  <c r="C51" i="58" s="1"/>
  <c r="D52" i="58"/>
  <c r="C52" i="58" s="1"/>
  <c r="D53" i="58"/>
  <c r="C53" i="58" s="1"/>
  <c r="D54" i="58"/>
  <c r="C54" i="58" s="1"/>
  <c r="D55" i="58"/>
  <c r="C55" i="58" s="1"/>
  <c r="D56" i="58"/>
  <c r="C56" i="58" s="1"/>
  <c r="D57" i="58"/>
  <c r="C57" i="58" s="1"/>
  <c r="D58" i="58"/>
  <c r="C58" i="58" s="1"/>
  <c r="D59" i="58"/>
  <c r="C59" i="58" s="1"/>
  <c r="D60" i="58"/>
  <c r="C60" i="58" s="1"/>
  <c r="D61" i="58"/>
  <c r="C61" i="58" s="1"/>
  <c r="D62" i="58"/>
  <c r="C62" i="58" s="1"/>
  <c r="D63" i="58"/>
  <c r="C63" i="58" s="1"/>
  <c r="D64" i="58"/>
  <c r="C64" i="58" s="1"/>
  <c r="D65" i="58"/>
  <c r="C65" i="58" s="1"/>
  <c r="D66" i="58"/>
  <c r="C66" i="58" s="1"/>
  <c r="D67" i="58"/>
  <c r="C67" i="58" s="1"/>
  <c r="D68" i="58"/>
  <c r="C68" i="58" s="1"/>
  <c r="D69" i="58"/>
  <c r="C69" i="58" s="1"/>
  <c r="D70" i="58"/>
  <c r="C70" i="58" s="1"/>
  <c r="D64" i="59"/>
  <c r="C64" i="59" s="1"/>
  <c r="D65" i="59"/>
  <c r="C65" i="59" s="1"/>
  <c r="D66" i="59"/>
  <c r="C66" i="59" s="1"/>
  <c r="D67" i="59"/>
  <c r="Y67" i="59" s="1"/>
  <c r="D68" i="59"/>
  <c r="W68" i="59" s="1"/>
  <c r="D69" i="59"/>
  <c r="AE69" i="59" s="1"/>
  <c r="D70" i="59"/>
  <c r="AP70" i="59" s="1"/>
  <c r="D67" i="60"/>
  <c r="X67" i="60" s="1"/>
  <c r="D68" i="60"/>
  <c r="AP68" i="60" s="1"/>
  <c r="D69" i="60"/>
  <c r="AL69" i="60" s="1"/>
  <c r="D70" i="60"/>
  <c r="AP70" i="60" s="1"/>
  <c r="D64" i="60"/>
  <c r="D65" i="60"/>
  <c r="AF65" i="60" s="1"/>
  <c r="D66" i="60"/>
  <c r="C66" i="60" s="1"/>
  <c r="D64" i="61"/>
  <c r="C64" i="61" s="1"/>
  <c r="D65" i="61"/>
  <c r="D66" i="61"/>
  <c r="C66" i="61" s="1"/>
  <c r="D67" i="61"/>
  <c r="M67" i="61" s="1"/>
  <c r="D68" i="61"/>
  <c r="AU68" i="61" s="1"/>
  <c r="D69" i="61"/>
  <c r="AM69" i="61" s="1"/>
  <c r="D70" i="61"/>
  <c r="AS70" i="61" s="1"/>
  <c r="D64" i="62"/>
  <c r="D65" i="62"/>
  <c r="C65" i="62" s="1"/>
  <c r="D66" i="62"/>
  <c r="C66" i="62" s="1"/>
  <c r="D67" i="62"/>
  <c r="AM67" i="62" s="1"/>
  <c r="D68" i="62"/>
  <c r="AT68" i="62" s="1"/>
  <c r="D69" i="62"/>
  <c r="AO69" i="62" s="1"/>
  <c r="D70" i="62"/>
  <c r="T70" i="62" s="1"/>
  <c r="D67" i="63"/>
  <c r="L67" i="63" s="1"/>
  <c r="D68" i="63"/>
  <c r="W68" i="63" s="1"/>
  <c r="D69" i="63"/>
  <c r="D70" i="63"/>
  <c r="AS70" i="63" s="1"/>
  <c r="D64" i="63"/>
  <c r="D65" i="63"/>
  <c r="D66" i="63"/>
  <c r="D42" i="59"/>
  <c r="C42" i="59" s="1"/>
  <c r="D43" i="59"/>
  <c r="C43" i="59" s="1"/>
  <c r="D44" i="59"/>
  <c r="C44" i="59" s="1"/>
  <c r="D45" i="59"/>
  <c r="C45" i="59" s="1"/>
  <c r="D46" i="59"/>
  <c r="C46" i="59" s="1"/>
  <c r="D47" i="59"/>
  <c r="AT47" i="59" s="1"/>
  <c r="D48" i="59"/>
  <c r="C48" i="59" s="1"/>
  <c r="D49" i="59"/>
  <c r="C49" i="59" s="1"/>
  <c r="D50" i="59"/>
  <c r="C50" i="59" s="1"/>
  <c r="D51" i="59"/>
  <c r="AS51" i="59" s="1"/>
  <c r="D52" i="59"/>
  <c r="AD52" i="59" s="1"/>
  <c r="D53" i="59"/>
  <c r="AT53" i="59" s="1"/>
  <c r="D54" i="59"/>
  <c r="C54" i="59" s="1"/>
  <c r="D55" i="59"/>
  <c r="C55" i="59" s="1"/>
  <c r="D56" i="59"/>
  <c r="C56" i="59" s="1"/>
  <c r="D57" i="59"/>
  <c r="AG57" i="59" s="1"/>
  <c r="D58" i="59"/>
  <c r="C58" i="59" s="1"/>
  <c r="D59" i="59"/>
  <c r="AE59" i="59" s="1"/>
  <c r="D60" i="59"/>
  <c r="C60" i="59" s="1"/>
  <c r="D61" i="59"/>
  <c r="C61" i="59" s="1"/>
  <c r="D62" i="59"/>
  <c r="C62" i="59" s="1"/>
  <c r="D63" i="59"/>
  <c r="C63" i="59" s="1"/>
  <c r="D43" i="60"/>
  <c r="C43" i="60" s="1"/>
  <c r="D44" i="60"/>
  <c r="C44" i="60" s="1"/>
  <c r="D45" i="60"/>
  <c r="C45" i="60" s="1"/>
  <c r="D46" i="60"/>
  <c r="C46" i="60" s="1"/>
  <c r="D47" i="60"/>
  <c r="C47" i="60" s="1"/>
  <c r="D48" i="60"/>
  <c r="C48" i="60" s="1"/>
  <c r="D49" i="60"/>
  <c r="C49" i="60" s="1"/>
  <c r="D50" i="60"/>
  <c r="C50" i="60" s="1"/>
  <c r="D51" i="60"/>
  <c r="AT51" i="60" s="1"/>
  <c r="D52" i="60"/>
  <c r="C52" i="60" s="1"/>
  <c r="D53" i="60"/>
  <c r="AT53" i="60" s="1"/>
  <c r="D54" i="60"/>
  <c r="C54" i="60" s="1"/>
  <c r="D55" i="60"/>
  <c r="C55" i="60" s="1"/>
  <c r="D56" i="60"/>
  <c r="C56" i="60" s="1"/>
  <c r="D57" i="60"/>
  <c r="Q57" i="60" s="1"/>
  <c r="D58" i="60"/>
  <c r="C58" i="60" s="1"/>
  <c r="D59" i="60"/>
  <c r="C59" i="60" s="1"/>
  <c r="D60" i="60"/>
  <c r="X60" i="60" s="1"/>
  <c r="D61" i="60"/>
  <c r="D62" i="60"/>
  <c r="C62" i="60" s="1"/>
  <c r="D63" i="60"/>
  <c r="C63" i="60" s="1"/>
  <c r="D42" i="61"/>
  <c r="C42" i="61" s="1"/>
  <c r="D43" i="61"/>
  <c r="C43" i="61" s="1"/>
  <c r="D44" i="61"/>
  <c r="C44" i="61" s="1"/>
  <c r="D45" i="61"/>
  <c r="C45" i="61" s="1"/>
  <c r="D46" i="61"/>
  <c r="C46" i="61" s="1"/>
  <c r="D47" i="61"/>
  <c r="C47" i="61" s="1"/>
  <c r="D48" i="61"/>
  <c r="D49" i="61"/>
  <c r="C49" i="61" s="1"/>
  <c r="D50" i="61"/>
  <c r="D51" i="61"/>
  <c r="C51" i="61" s="1"/>
  <c r="D52" i="61"/>
  <c r="C52" i="61" s="1"/>
  <c r="D53" i="61"/>
  <c r="C53" i="61" s="1"/>
  <c r="D54" i="61"/>
  <c r="C54" i="61" s="1"/>
  <c r="D55" i="61"/>
  <c r="C55" i="61" s="1"/>
  <c r="D56" i="61"/>
  <c r="C56" i="61" s="1"/>
  <c r="D57" i="61"/>
  <c r="AK57" i="61" s="1"/>
  <c r="D58" i="61"/>
  <c r="AI58" i="61" s="1"/>
  <c r="D59" i="61"/>
  <c r="X59" i="61" s="1"/>
  <c r="D60" i="61"/>
  <c r="D61" i="61"/>
  <c r="C61" i="61" s="1"/>
  <c r="D62" i="61"/>
  <c r="D63" i="61"/>
  <c r="D42" i="62"/>
  <c r="C42" i="62" s="1"/>
  <c r="D43" i="62"/>
  <c r="C43" i="62" s="1"/>
  <c r="D44" i="62"/>
  <c r="W44" i="62" s="1"/>
  <c r="D45" i="62"/>
  <c r="C45" i="62" s="1"/>
  <c r="D46" i="62"/>
  <c r="AO46" i="62" s="1"/>
  <c r="D47" i="62"/>
  <c r="C47" i="62" s="1"/>
  <c r="D48" i="62"/>
  <c r="C48" i="62" s="1"/>
  <c r="D49" i="62"/>
  <c r="C49" i="62" s="1"/>
  <c r="D50" i="62"/>
  <c r="C50" i="62" s="1"/>
  <c r="D51" i="62"/>
  <c r="U51" i="62" s="1"/>
  <c r="D52" i="62"/>
  <c r="D53" i="62"/>
  <c r="AR53" i="62" s="1"/>
  <c r="D54" i="62"/>
  <c r="C54" i="62" s="1"/>
  <c r="D55" i="62"/>
  <c r="C55" i="62" s="1"/>
  <c r="D56" i="62"/>
  <c r="C56" i="62" s="1"/>
  <c r="D57" i="62"/>
  <c r="AK57" i="62" s="1"/>
  <c r="D58" i="62"/>
  <c r="V58" i="62" s="1"/>
  <c r="D59" i="62"/>
  <c r="AM59" i="62" s="1"/>
  <c r="D60" i="62"/>
  <c r="C60" i="62" s="1"/>
  <c r="D61" i="62"/>
  <c r="D62" i="62"/>
  <c r="D63" i="62"/>
  <c r="C63" i="62" s="1"/>
  <c r="D42" i="63"/>
  <c r="D43" i="63"/>
  <c r="AD43" i="63" s="1"/>
  <c r="D44" i="63"/>
  <c r="C44" i="63" s="1"/>
  <c r="D45" i="63"/>
  <c r="C45" i="63" s="1"/>
  <c r="D46" i="63"/>
  <c r="C46" i="63" s="1"/>
  <c r="D47" i="63"/>
  <c r="AG47" i="63" s="1"/>
  <c r="D48" i="63"/>
  <c r="C48" i="63" s="1"/>
  <c r="D49" i="63"/>
  <c r="C49" i="63" s="1"/>
  <c r="D50" i="63"/>
  <c r="AO50" i="63" s="1"/>
  <c r="D51" i="63"/>
  <c r="D52" i="63"/>
  <c r="AS52" i="63" s="1"/>
  <c r="D53" i="63"/>
  <c r="C53" i="63" s="1"/>
  <c r="D54" i="63"/>
  <c r="C54" i="63" s="1"/>
  <c r="D55" i="63"/>
  <c r="C55" i="63" s="1"/>
  <c r="D56" i="63"/>
  <c r="AE56" i="63" s="1"/>
  <c r="D57" i="63"/>
  <c r="AS57" i="63" s="1"/>
  <c r="D58" i="63"/>
  <c r="C58" i="63" s="1"/>
  <c r="D59" i="63"/>
  <c r="AD59" i="63" s="1"/>
  <c r="D60" i="63"/>
  <c r="C60" i="63" s="1"/>
  <c r="D61" i="63"/>
  <c r="C61" i="63" s="1"/>
  <c r="D62" i="63"/>
  <c r="C62" i="63" s="1"/>
  <c r="D63" i="63"/>
  <c r="AS63" i="63" s="1"/>
  <c r="D42" i="1"/>
  <c r="C42" i="1" s="1"/>
  <c r="D43" i="1"/>
  <c r="C43" i="1" s="1"/>
  <c r="D44" i="1"/>
  <c r="C44" i="1" s="1"/>
  <c r="D45" i="1"/>
  <c r="C45" i="1" s="1"/>
  <c r="D46" i="1"/>
  <c r="C46" i="1" s="1"/>
  <c r="D47" i="1"/>
  <c r="C47" i="1" s="1"/>
  <c r="D48" i="1"/>
  <c r="C48" i="1" s="1"/>
  <c r="D49" i="1"/>
  <c r="C49" i="1" s="1"/>
  <c r="D50" i="1"/>
  <c r="C50" i="1" s="1"/>
  <c r="D51" i="1"/>
  <c r="C51" i="1" s="1"/>
  <c r="D52" i="1"/>
  <c r="C52" i="1" s="1"/>
  <c r="D53" i="1"/>
  <c r="C53" i="1" s="1"/>
  <c r="D54" i="1"/>
  <c r="C54" i="1" s="1"/>
  <c r="D55" i="1"/>
  <c r="C55" i="1" s="1"/>
  <c r="D56" i="1"/>
  <c r="C56" i="1" s="1"/>
  <c r="D57" i="1"/>
  <c r="C57" i="1" s="1"/>
  <c r="D58" i="1"/>
  <c r="C58" i="1" s="1"/>
  <c r="D59" i="1"/>
  <c r="C59" i="1" s="1"/>
  <c r="D60" i="1"/>
  <c r="C60" i="1" s="1"/>
  <c r="D61" i="1"/>
  <c r="C61" i="1" s="1"/>
  <c r="D62" i="1"/>
  <c r="C62" i="1" s="1"/>
  <c r="D63" i="1"/>
  <c r="C63" i="1" s="1"/>
  <c r="B33" i="55"/>
  <c r="B34" i="55"/>
  <c r="B35" i="55"/>
  <c r="B36" i="55"/>
  <c r="B37" i="55"/>
  <c r="B38" i="55"/>
  <c r="B39" i="55"/>
  <c r="B40" i="55"/>
  <c r="B41" i="55"/>
  <c r="B42" i="55"/>
  <c r="B43" i="55"/>
  <c r="B44" i="55"/>
  <c r="B45" i="55"/>
  <c r="B46" i="55"/>
  <c r="B47" i="55"/>
  <c r="B48" i="55"/>
  <c r="B49" i="55"/>
  <c r="B50" i="55"/>
  <c r="B51" i="55"/>
  <c r="B52" i="55"/>
  <c r="B53" i="55"/>
  <c r="B54" i="55"/>
  <c r="B32" i="55"/>
  <c r="V70" i="63"/>
  <c r="AP69" i="63"/>
  <c r="AO69" i="63"/>
  <c r="AR68" i="63"/>
  <c r="AN68" i="63"/>
  <c r="Y68" i="63"/>
  <c r="I68" i="63"/>
  <c r="AO67" i="63"/>
  <c r="AA67" i="63"/>
  <c r="Z67" i="63"/>
  <c r="Y67" i="63"/>
  <c r="X67" i="63"/>
  <c r="O67" i="63"/>
  <c r="N67" i="63"/>
  <c r="M67" i="63"/>
  <c r="D41" i="63"/>
  <c r="AU30" i="63"/>
  <c r="AT30" i="63"/>
  <c r="AS30" i="63"/>
  <c r="AR30" i="63"/>
  <c r="AQ30" i="63"/>
  <c r="AP30" i="63"/>
  <c r="AO30" i="63"/>
  <c r="AN30" i="63"/>
  <c r="AM30" i="63"/>
  <c r="AL30" i="63"/>
  <c r="AK30" i="63"/>
  <c r="AJ30" i="63"/>
  <c r="AA30" i="63"/>
  <c r="Z30" i="63"/>
  <c r="Y30" i="63"/>
  <c r="X30" i="63"/>
  <c r="W30" i="63"/>
  <c r="V30" i="63"/>
  <c r="U30" i="63"/>
  <c r="T30" i="63"/>
  <c r="S30" i="63"/>
  <c r="R30" i="63"/>
  <c r="Q30" i="63"/>
  <c r="P30" i="63"/>
  <c r="O30" i="63"/>
  <c r="N30" i="63"/>
  <c r="M30" i="63"/>
  <c r="L30" i="63"/>
  <c r="K30" i="63"/>
  <c r="J30" i="63"/>
  <c r="I30" i="63"/>
  <c r="H30" i="63"/>
  <c r="E30" i="63"/>
  <c r="AD29" i="63"/>
  <c r="AB29" i="63"/>
  <c r="G29" i="63"/>
  <c r="F29" i="63"/>
  <c r="C29" i="63"/>
  <c r="AD28" i="63"/>
  <c r="AB28" i="63"/>
  <c r="G28" i="63"/>
  <c r="F28" i="63"/>
  <c r="C28" i="63"/>
  <c r="AD27" i="63"/>
  <c r="AB27" i="63"/>
  <c r="G27" i="63"/>
  <c r="F27" i="63"/>
  <c r="C27" i="63"/>
  <c r="AD26" i="63"/>
  <c r="AB26" i="63"/>
  <c r="G26" i="63"/>
  <c r="F26" i="63"/>
  <c r="C26" i="63"/>
  <c r="AD25" i="63"/>
  <c r="AB25" i="63"/>
  <c r="G25" i="63"/>
  <c r="F25" i="63"/>
  <c r="C25" i="63"/>
  <c r="AD24" i="63"/>
  <c r="AB24" i="63"/>
  <c r="G24" i="63"/>
  <c r="F24" i="63"/>
  <c r="C24" i="63"/>
  <c r="AD23" i="63"/>
  <c r="AB23" i="63"/>
  <c r="G23" i="63"/>
  <c r="F23" i="63"/>
  <c r="C23" i="63"/>
  <c r="AD22" i="63"/>
  <c r="AB22" i="63"/>
  <c r="G22" i="63"/>
  <c r="F22" i="63"/>
  <c r="C22" i="63"/>
  <c r="AD21" i="63"/>
  <c r="AB21" i="63"/>
  <c r="G21" i="63"/>
  <c r="F21" i="63"/>
  <c r="C21" i="63"/>
  <c r="AD20" i="63"/>
  <c r="AB20" i="63"/>
  <c r="G20" i="63"/>
  <c r="F20" i="63"/>
  <c r="C20" i="63"/>
  <c r="AD19" i="63"/>
  <c r="AB19" i="63"/>
  <c r="G19" i="63"/>
  <c r="F19" i="63"/>
  <c r="C19" i="63"/>
  <c r="AD18" i="63"/>
  <c r="AB18" i="63"/>
  <c r="G18" i="63"/>
  <c r="F18" i="63"/>
  <c r="C18" i="63"/>
  <c r="AD17" i="63"/>
  <c r="AB17" i="63"/>
  <c r="G17" i="63"/>
  <c r="F17" i="63"/>
  <c r="C17" i="63"/>
  <c r="AD16" i="63"/>
  <c r="AB16" i="63"/>
  <c r="G16" i="63"/>
  <c r="F16" i="63"/>
  <c r="C16" i="63"/>
  <c r="AD15" i="63"/>
  <c r="AB15" i="63"/>
  <c r="G15" i="63"/>
  <c r="F15" i="63"/>
  <c r="C15" i="63"/>
  <c r="AD14" i="63"/>
  <c r="AB14" i="63"/>
  <c r="G14" i="63"/>
  <c r="F14" i="63"/>
  <c r="C14" i="63"/>
  <c r="AD13" i="63"/>
  <c r="AB13" i="63"/>
  <c r="G13" i="63"/>
  <c r="F13" i="63"/>
  <c r="C13" i="63"/>
  <c r="AD12" i="63"/>
  <c r="AB12" i="63"/>
  <c r="G12" i="63"/>
  <c r="F12" i="63"/>
  <c r="C12" i="63"/>
  <c r="AD11" i="63"/>
  <c r="AB11" i="63"/>
  <c r="G11" i="63"/>
  <c r="F11" i="63"/>
  <c r="C11" i="63"/>
  <c r="AD10" i="63"/>
  <c r="AB10" i="63"/>
  <c r="G10" i="63"/>
  <c r="F10" i="63"/>
  <c r="C10" i="63"/>
  <c r="V6" i="63"/>
  <c r="T6" i="63"/>
  <c r="V5" i="63"/>
  <c r="U5" i="63"/>
  <c r="T5" i="63"/>
  <c r="U70" i="62"/>
  <c r="G69" i="62"/>
  <c r="D41" i="62"/>
  <c r="C41" i="62" s="1"/>
  <c r="AU30" i="62"/>
  <c r="AT30" i="62"/>
  <c r="U6" i="62" s="1"/>
  <c r="AS30" i="62"/>
  <c r="AR30" i="62"/>
  <c r="AQ30" i="62"/>
  <c r="AP30" i="62"/>
  <c r="AO30" i="62"/>
  <c r="AN30" i="62"/>
  <c r="AM30" i="62"/>
  <c r="AL30" i="62"/>
  <c r="AK30" i="62"/>
  <c r="AJ30" i="62"/>
  <c r="AA30" i="62"/>
  <c r="Z30" i="62"/>
  <c r="Y30" i="62"/>
  <c r="X30" i="62"/>
  <c r="W30" i="62"/>
  <c r="V30" i="62"/>
  <c r="U30" i="62"/>
  <c r="T30" i="62"/>
  <c r="S30" i="62"/>
  <c r="R30" i="62"/>
  <c r="Q30" i="62"/>
  <c r="P30" i="62"/>
  <c r="O30" i="62"/>
  <c r="N30" i="62"/>
  <c r="M30" i="62"/>
  <c r="L30" i="62"/>
  <c r="K30" i="62"/>
  <c r="J30" i="62"/>
  <c r="I30" i="62"/>
  <c r="H30" i="62"/>
  <c r="E30" i="62"/>
  <c r="AD29" i="62"/>
  <c r="AB29" i="62"/>
  <c r="G29" i="62"/>
  <c r="F29" i="62"/>
  <c r="C29" i="62"/>
  <c r="AD28" i="62"/>
  <c r="AB28" i="62"/>
  <c r="G28" i="62"/>
  <c r="F28" i="62"/>
  <c r="C28" i="62"/>
  <c r="AD27" i="62"/>
  <c r="AB27" i="62"/>
  <c r="G27" i="62"/>
  <c r="F27" i="62"/>
  <c r="C27" i="62"/>
  <c r="AD26" i="62"/>
  <c r="AB26" i="62"/>
  <c r="G26" i="62"/>
  <c r="F26" i="62"/>
  <c r="C26" i="62"/>
  <c r="AD25" i="62"/>
  <c r="AB25" i="62"/>
  <c r="G25" i="62"/>
  <c r="F25" i="62"/>
  <c r="C25" i="62"/>
  <c r="AD24" i="62"/>
  <c r="AB24" i="62"/>
  <c r="G24" i="62"/>
  <c r="F24" i="62"/>
  <c r="C24" i="62"/>
  <c r="AD23" i="62"/>
  <c r="AB23" i="62"/>
  <c r="G23" i="62"/>
  <c r="F23" i="62"/>
  <c r="C23" i="62"/>
  <c r="AD22" i="62"/>
  <c r="AB22" i="62"/>
  <c r="G22" i="62"/>
  <c r="F22" i="62"/>
  <c r="C22" i="62"/>
  <c r="AD21" i="62"/>
  <c r="AB21" i="62"/>
  <c r="G21" i="62"/>
  <c r="F21" i="62"/>
  <c r="C21" i="62"/>
  <c r="AD20" i="62"/>
  <c r="AB20" i="62"/>
  <c r="G20" i="62"/>
  <c r="F20" i="62"/>
  <c r="C20" i="62"/>
  <c r="AD19" i="62"/>
  <c r="AB19" i="62"/>
  <c r="G19" i="62"/>
  <c r="F19" i="62"/>
  <c r="C19" i="62"/>
  <c r="AD18" i="62"/>
  <c r="AB18" i="62"/>
  <c r="G18" i="62"/>
  <c r="F18" i="62"/>
  <c r="C18" i="62"/>
  <c r="AD17" i="62"/>
  <c r="AB17" i="62"/>
  <c r="G17" i="62"/>
  <c r="F17" i="62"/>
  <c r="C17" i="62"/>
  <c r="AD16" i="62"/>
  <c r="AB16" i="62"/>
  <c r="G16" i="62"/>
  <c r="F16" i="62"/>
  <c r="C16" i="62"/>
  <c r="AD15" i="62"/>
  <c r="AB15" i="62"/>
  <c r="G15" i="62"/>
  <c r="F15" i="62"/>
  <c r="C15" i="62"/>
  <c r="AD14" i="62"/>
  <c r="AB14" i="62"/>
  <c r="G14" i="62"/>
  <c r="F14" i="62"/>
  <c r="C14" i="62"/>
  <c r="AD13" i="62"/>
  <c r="AB13" i="62"/>
  <c r="G13" i="62"/>
  <c r="F13" i="62"/>
  <c r="C13" i="62"/>
  <c r="AD12" i="62"/>
  <c r="AB12" i="62"/>
  <c r="G12" i="62"/>
  <c r="F12" i="62"/>
  <c r="C12" i="62"/>
  <c r="AD11" i="62"/>
  <c r="AB11" i="62"/>
  <c r="G11" i="62"/>
  <c r="F11" i="62"/>
  <c r="C11" i="62"/>
  <c r="AD10" i="62"/>
  <c r="AB10" i="62"/>
  <c r="G10" i="62"/>
  <c r="F10" i="62"/>
  <c r="C10" i="62"/>
  <c r="T6" i="62"/>
  <c r="T5" i="62"/>
  <c r="P26" i="55"/>
  <c r="AU70" i="61"/>
  <c r="AG70" i="61"/>
  <c r="AF70" i="61"/>
  <c r="P70" i="61"/>
  <c r="G70" i="61"/>
  <c r="F70" i="61"/>
  <c r="E70" i="61"/>
  <c r="N69" i="61"/>
  <c r="AT68" i="61"/>
  <c r="AI68" i="61"/>
  <c r="AH68" i="61"/>
  <c r="AG68" i="61"/>
  <c r="U68" i="61"/>
  <c r="T68" i="61"/>
  <c r="G68" i="61"/>
  <c r="AP67" i="61"/>
  <c r="AM67" i="61"/>
  <c r="AL67" i="61"/>
  <c r="AD67" i="61"/>
  <c r="Y67" i="61"/>
  <c r="X67" i="61"/>
  <c r="P67" i="61"/>
  <c r="D41" i="61"/>
  <c r="AU30" i="61"/>
  <c r="AT30" i="61"/>
  <c r="U5" i="61" s="1"/>
  <c r="AS30" i="61"/>
  <c r="AR30" i="61"/>
  <c r="AQ30" i="61"/>
  <c r="AP30" i="61"/>
  <c r="AO30" i="61"/>
  <c r="AN30" i="61"/>
  <c r="AM30" i="61"/>
  <c r="AL30" i="61"/>
  <c r="AK30" i="61"/>
  <c r="AJ30" i="61"/>
  <c r="AA30" i="61"/>
  <c r="Z30" i="61"/>
  <c r="Y30" i="61"/>
  <c r="X30" i="61"/>
  <c r="W30" i="61"/>
  <c r="V30" i="61"/>
  <c r="U30" i="61"/>
  <c r="T30" i="61"/>
  <c r="S30" i="61"/>
  <c r="R30" i="61"/>
  <c r="Q30" i="61"/>
  <c r="P30" i="61"/>
  <c r="O30" i="61"/>
  <c r="N30" i="61"/>
  <c r="V5" i="61" s="1"/>
  <c r="M30" i="61"/>
  <c r="L30" i="61"/>
  <c r="K30" i="61"/>
  <c r="J30" i="61"/>
  <c r="I30" i="61"/>
  <c r="H30" i="61"/>
  <c r="E30" i="61"/>
  <c r="AD29" i="61"/>
  <c r="AB29" i="61"/>
  <c r="G29" i="61"/>
  <c r="F29" i="61"/>
  <c r="C29" i="61"/>
  <c r="AD28" i="61"/>
  <c r="AB28" i="61"/>
  <c r="G28" i="61"/>
  <c r="F28" i="61"/>
  <c r="C28" i="61"/>
  <c r="AD27" i="61"/>
  <c r="AB27" i="61"/>
  <c r="G27" i="61"/>
  <c r="F27" i="61"/>
  <c r="C27" i="61"/>
  <c r="AD26" i="61"/>
  <c r="AB26" i="61"/>
  <c r="G26" i="61"/>
  <c r="F26" i="61"/>
  <c r="C26" i="61"/>
  <c r="AD25" i="61"/>
  <c r="AB25" i="61"/>
  <c r="G25" i="61"/>
  <c r="F25" i="61"/>
  <c r="C25" i="61"/>
  <c r="AD24" i="61"/>
  <c r="AB24" i="61"/>
  <c r="G24" i="61"/>
  <c r="F24" i="61"/>
  <c r="C24" i="61"/>
  <c r="AD23" i="61"/>
  <c r="AB23" i="61"/>
  <c r="G23" i="61"/>
  <c r="F23" i="61"/>
  <c r="C23" i="61"/>
  <c r="AD22" i="61"/>
  <c r="AB22" i="61"/>
  <c r="G22" i="61"/>
  <c r="F22" i="61"/>
  <c r="C22" i="61"/>
  <c r="AD21" i="61"/>
  <c r="AB21" i="61"/>
  <c r="G21" i="61"/>
  <c r="F21" i="61"/>
  <c r="C21" i="61"/>
  <c r="AD20" i="61"/>
  <c r="AB20" i="61"/>
  <c r="G20" i="61"/>
  <c r="F20" i="61"/>
  <c r="C20" i="61"/>
  <c r="AD19" i="61"/>
  <c r="AB19" i="61"/>
  <c r="G19" i="61"/>
  <c r="F19" i="61"/>
  <c r="C19" i="61"/>
  <c r="AD18" i="61"/>
  <c r="AB18" i="61"/>
  <c r="G18" i="61"/>
  <c r="F18" i="61"/>
  <c r="C18" i="61"/>
  <c r="AD17" i="61"/>
  <c r="AB17" i="61"/>
  <c r="G17" i="61"/>
  <c r="F17" i="61"/>
  <c r="C17" i="61"/>
  <c r="AD16" i="61"/>
  <c r="AB16" i="61"/>
  <c r="G16" i="61"/>
  <c r="F16" i="61"/>
  <c r="C16" i="61"/>
  <c r="AD15" i="61"/>
  <c r="AB15" i="61"/>
  <c r="G15" i="61"/>
  <c r="F15" i="61"/>
  <c r="C15" i="61"/>
  <c r="AD14" i="61"/>
  <c r="AB14" i="61"/>
  <c r="G14" i="61"/>
  <c r="F14" i="61"/>
  <c r="C14" i="61"/>
  <c r="AD13" i="61"/>
  <c r="AB13" i="61"/>
  <c r="G13" i="61"/>
  <c r="F13" i="61"/>
  <c r="C13" i="61"/>
  <c r="AD12" i="61"/>
  <c r="AB12" i="61"/>
  <c r="G12" i="61"/>
  <c r="F12" i="61"/>
  <c r="C12" i="61"/>
  <c r="AD11" i="61"/>
  <c r="AB11" i="61"/>
  <c r="G11" i="61"/>
  <c r="F11" i="61"/>
  <c r="C11" i="61"/>
  <c r="AD10" i="61"/>
  <c r="AB10" i="61"/>
  <c r="G10" i="61"/>
  <c r="F10" i="61"/>
  <c r="C10" i="61"/>
  <c r="V6" i="61"/>
  <c r="T6" i="61"/>
  <c r="T5" i="61"/>
  <c r="AA70" i="60"/>
  <c r="AT69" i="60"/>
  <c r="AN69" i="60"/>
  <c r="M69" i="60"/>
  <c r="L69" i="60"/>
  <c r="Z68" i="60"/>
  <c r="R68" i="60"/>
  <c r="Q68" i="60"/>
  <c r="M68" i="60"/>
  <c r="I68" i="60"/>
  <c r="H68" i="60"/>
  <c r="G68" i="60"/>
  <c r="AN67" i="60"/>
  <c r="AM67" i="60"/>
  <c r="AK67" i="60"/>
  <c r="AJ67" i="60"/>
  <c r="AI67" i="60"/>
  <c r="AH67" i="60"/>
  <c r="AG67" i="60"/>
  <c r="Y67" i="60"/>
  <c r="U67" i="60"/>
  <c r="T67" i="60"/>
  <c r="O67" i="60"/>
  <c r="N67" i="60"/>
  <c r="J67" i="60"/>
  <c r="I67" i="60"/>
  <c r="H67" i="60"/>
  <c r="D42" i="60"/>
  <c r="W42" i="60" s="1"/>
  <c r="D41" i="60"/>
  <c r="X41" i="60" s="1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A30" i="60"/>
  <c r="Z30" i="60"/>
  <c r="Y30" i="60"/>
  <c r="X30" i="60"/>
  <c r="W30" i="60"/>
  <c r="V30" i="60"/>
  <c r="U30" i="60"/>
  <c r="T30" i="60"/>
  <c r="S30" i="60"/>
  <c r="R30" i="60"/>
  <c r="Q30" i="60"/>
  <c r="P30" i="60"/>
  <c r="O30" i="60"/>
  <c r="N30" i="60"/>
  <c r="V5" i="60" s="1"/>
  <c r="M30" i="60"/>
  <c r="L30" i="60"/>
  <c r="K30" i="60"/>
  <c r="J30" i="60"/>
  <c r="I30" i="60"/>
  <c r="H30" i="60"/>
  <c r="E30" i="60"/>
  <c r="AD29" i="60"/>
  <c r="AB29" i="60"/>
  <c r="G29" i="60"/>
  <c r="F29" i="60"/>
  <c r="C29" i="60"/>
  <c r="AD28" i="60"/>
  <c r="AB28" i="60"/>
  <c r="G28" i="60"/>
  <c r="F28" i="60"/>
  <c r="C28" i="60"/>
  <c r="AD27" i="60"/>
  <c r="AB27" i="60"/>
  <c r="G27" i="60"/>
  <c r="F27" i="60"/>
  <c r="C27" i="60"/>
  <c r="AD26" i="60"/>
  <c r="AB26" i="60"/>
  <c r="G26" i="60"/>
  <c r="F26" i="60"/>
  <c r="C26" i="60"/>
  <c r="AD25" i="60"/>
  <c r="AB25" i="60"/>
  <c r="G25" i="60"/>
  <c r="F25" i="60"/>
  <c r="C25" i="60"/>
  <c r="AD24" i="60"/>
  <c r="AB24" i="60"/>
  <c r="G24" i="60"/>
  <c r="F24" i="60"/>
  <c r="C24" i="60"/>
  <c r="AD23" i="60"/>
  <c r="AB23" i="60"/>
  <c r="G23" i="60"/>
  <c r="F23" i="60"/>
  <c r="C23" i="60"/>
  <c r="AD22" i="60"/>
  <c r="AB22" i="60"/>
  <c r="G22" i="60"/>
  <c r="F22" i="60"/>
  <c r="C22" i="60"/>
  <c r="AD21" i="60"/>
  <c r="AB21" i="60"/>
  <c r="G21" i="60"/>
  <c r="F21" i="60"/>
  <c r="C21" i="60"/>
  <c r="AD20" i="60"/>
  <c r="AB20" i="60"/>
  <c r="G20" i="60"/>
  <c r="F20" i="60"/>
  <c r="C20" i="60"/>
  <c r="AD19" i="60"/>
  <c r="AB19" i="60"/>
  <c r="G19" i="60"/>
  <c r="F19" i="60"/>
  <c r="C19" i="60"/>
  <c r="AD18" i="60"/>
  <c r="AB18" i="60"/>
  <c r="G18" i="60"/>
  <c r="F18" i="60"/>
  <c r="C18" i="60"/>
  <c r="AD17" i="60"/>
  <c r="AB17" i="60"/>
  <c r="G17" i="60"/>
  <c r="F17" i="60"/>
  <c r="C17" i="60"/>
  <c r="AD16" i="60"/>
  <c r="AB16" i="60"/>
  <c r="G16" i="60"/>
  <c r="F16" i="60"/>
  <c r="C16" i="60"/>
  <c r="AD15" i="60"/>
  <c r="AB15" i="60"/>
  <c r="G15" i="60"/>
  <c r="F15" i="60"/>
  <c r="C15" i="60"/>
  <c r="AD14" i="60"/>
  <c r="AB14" i="60"/>
  <c r="G14" i="60"/>
  <c r="F14" i="60"/>
  <c r="C14" i="60"/>
  <c r="AD13" i="60"/>
  <c r="AB13" i="60"/>
  <c r="G13" i="60"/>
  <c r="F13" i="60"/>
  <c r="C13" i="60"/>
  <c r="AD12" i="60"/>
  <c r="AB12" i="60"/>
  <c r="G12" i="60"/>
  <c r="F12" i="60"/>
  <c r="C12" i="60"/>
  <c r="AD11" i="60"/>
  <c r="AB11" i="60"/>
  <c r="G11" i="60"/>
  <c r="F11" i="60"/>
  <c r="C11" i="60"/>
  <c r="AD10" i="60"/>
  <c r="AB10" i="60"/>
  <c r="G10" i="60"/>
  <c r="F10" i="60"/>
  <c r="C10" i="60"/>
  <c r="V6" i="60"/>
  <c r="T6" i="60"/>
  <c r="T5" i="60"/>
  <c r="AU70" i="59"/>
  <c r="AS70" i="59"/>
  <c r="AR70" i="59"/>
  <c r="AQ70" i="59"/>
  <c r="AI70" i="59"/>
  <c r="AG70" i="59"/>
  <c r="AF70" i="59"/>
  <c r="AE70" i="59"/>
  <c r="AD70" i="59"/>
  <c r="AA70" i="59"/>
  <c r="Z70" i="59"/>
  <c r="Y70" i="59"/>
  <c r="X70" i="59"/>
  <c r="Q70" i="59"/>
  <c r="N70" i="59"/>
  <c r="M70" i="59"/>
  <c r="L70" i="59"/>
  <c r="K70" i="59"/>
  <c r="F70" i="59"/>
  <c r="E70" i="59"/>
  <c r="AQ69" i="59"/>
  <c r="AP69" i="59"/>
  <c r="AO69" i="59"/>
  <c r="E69" i="59"/>
  <c r="V68" i="59"/>
  <c r="U68" i="59"/>
  <c r="T68" i="59"/>
  <c r="S68" i="59"/>
  <c r="K68" i="59"/>
  <c r="J68" i="59"/>
  <c r="Z67" i="59"/>
  <c r="D41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A30" i="59"/>
  <c r="Z30" i="59"/>
  <c r="Y30" i="59"/>
  <c r="X30" i="59"/>
  <c r="W30" i="59"/>
  <c r="V30" i="59"/>
  <c r="U30" i="59"/>
  <c r="T30" i="59"/>
  <c r="S30" i="59"/>
  <c r="R30" i="59"/>
  <c r="Q30" i="59"/>
  <c r="P30" i="59"/>
  <c r="O30" i="59"/>
  <c r="N30" i="59"/>
  <c r="V5" i="59" s="1"/>
  <c r="M30" i="59"/>
  <c r="L30" i="59"/>
  <c r="K30" i="59"/>
  <c r="J30" i="59"/>
  <c r="I30" i="59"/>
  <c r="H30" i="59"/>
  <c r="E30" i="59"/>
  <c r="AD29" i="59"/>
  <c r="AB29" i="59"/>
  <c r="G29" i="59"/>
  <c r="F29" i="59"/>
  <c r="C29" i="59"/>
  <c r="AD28" i="59"/>
  <c r="AB28" i="59"/>
  <c r="G28" i="59"/>
  <c r="F28" i="59"/>
  <c r="C28" i="59"/>
  <c r="AD27" i="59"/>
  <c r="AB27" i="59"/>
  <c r="G27" i="59"/>
  <c r="F27" i="59"/>
  <c r="C27" i="59"/>
  <c r="AD26" i="59"/>
  <c r="AB26" i="59"/>
  <c r="G26" i="59"/>
  <c r="F26" i="59"/>
  <c r="C26" i="59"/>
  <c r="AD25" i="59"/>
  <c r="AB25" i="59"/>
  <c r="G25" i="59"/>
  <c r="F25" i="59"/>
  <c r="C25" i="59"/>
  <c r="AD24" i="59"/>
  <c r="AB24" i="59"/>
  <c r="G24" i="59"/>
  <c r="F24" i="59"/>
  <c r="C24" i="59"/>
  <c r="AD23" i="59"/>
  <c r="AB23" i="59"/>
  <c r="G23" i="59"/>
  <c r="F23" i="59"/>
  <c r="C23" i="59"/>
  <c r="AD22" i="59"/>
  <c r="AB22" i="59"/>
  <c r="G22" i="59"/>
  <c r="F22" i="59"/>
  <c r="C22" i="59"/>
  <c r="AD21" i="59"/>
  <c r="AB21" i="59"/>
  <c r="G21" i="59"/>
  <c r="F21" i="59"/>
  <c r="C21" i="59"/>
  <c r="AD20" i="59"/>
  <c r="AB20" i="59"/>
  <c r="G20" i="59"/>
  <c r="F20" i="59"/>
  <c r="C20" i="59"/>
  <c r="AD19" i="59"/>
  <c r="AB19" i="59"/>
  <c r="G19" i="59"/>
  <c r="F19" i="59"/>
  <c r="C19" i="59"/>
  <c r="AD18" i="59"/>
  <c r="AB18" i="59"/>
  <c r="G18" i="59"/>
  <c r="F18" i="59"/>
  <c r="C18" i="59"/>
  <c r="AD17" i="59"/>
  <c r="AB17" i="59"/>
  <c r="G17" i="59"/>
  <c r="F17" i="59"/>
  <c r="C17" i="59"/>
  <c r="AD16" i="59"/>
  <c r="AB16" i="59"/>
  <c r="G16" i="59"/>
  <c r="F16" i="59"/>
  <c r="C16" i="59"/>
  <c r="AD15" i="59"/>
  <c r="AB15" i="59"/>
  <c r="G15" i="59"/>
  <c r="F15" i="59"/>
  <c r="C15" i="59"/>
  <c r="AD14" i="59"/>
  <c r="AB14" i="59"/>
  <c r="G14" i="59"/>
  <c r="F14" i="59"/>
  <c r="C14" i="59"/>
  <c r="AD13" i="59"/>
  <c r="AB13" i="59"/>
  <c r="G13" i="59"/>
  <c r="F13" i="59"/>
  <c r="C13" i="59"/>
  <c r="AD12" i="59"/>
  <c r="AB12" i="59"/>
  <c r="G12" i="59"/>
  <c r="F12" i="59"/>
  <c r="C12" i="59"/>
  <c r="AD11" i="59"/>
  <c r="AB11" i="59"/>
  <c r="G11" i="59"/>
  <c r="F11" i="59"/>
  <c r="C11" i="59"/>
  <c r="AD10" i="59"/>
  <c r="AB10" i="59"/>
  <c r="G10" i="59"/>
  <c r="F10" i="59"/>
  <c r="C10" i="59"/>
  <c r="V6" i="59"/>
  <c r="U6" i="59"/>
  <c r="T6" i="59"/>
  <c r="T5" i="59"/>
  <c r="F30" i="63" l="1"/>
  <c r="G30" i="63"/>
  <c r="U6" i="63" s="1"/>
  <c r="H69" i="62"/>
  <c r="AR70" i="60"/>
  <c r="AE67" i="62"/>
  <c r="AD70" i="61"/>
  <c r="AQ70" i="60"/>
  <c r="AO68" i="60"/>
  <c r="AA70" i="61"/>
  <c r="F69" i="59"/>
  <c r="I69" i="60"/>
  <c r="AF67" i="62"/>
  <c r="J68" i="63"/>
  <c r="AN69" i="59"/>
  <c r="S67" i="60"/>
  <c r="F68" i="60"/>
  <c r="J69" i="60"/>
  <c r="AE70" i="61"/>
  <c r="AN67" i="62"/>
  <c r="X68" i="63"/>
  <c r="AM68" i="60"/>
  <c r="V70" i="61"/>
  <c r="M67" i="60"/>
  <c r="AL67" i="60"/>
  <c r="AN68" i="60"/>
  <c r="Z70" i="61"/>
  <c r="R67" i="62"/>
  <c r="H68" i="63"/>
  <c r="F30" i="62"/>
  <c r="G30" i="62"/>
  <c r="U5" i="62" s="1"/>
  <c r="AA67" i="59"/>
  <c r="AQ70" i="62"/>
  <c r="AE69" i="62"/>
  <c r="AU70" i="62"/>
  <c r="AF69" i="62"/>
  <c r="U55" i="59"/>
  <c r="AO67" i="62"/>
  <c r="AG69" i="62"/>
  <c r="AG65" i="59"/>
  <c r="AP67" i="62"/>
  <c r="AH69" i="62"/>
  <c r="M67" i="59"/>
  <c r="E67" i="62"/>
  <c r="AQ67" i="62"/>
  <c r="AI69" i="62"/>
  <c r="N67" i="59"/>
  <c r="N69" i="60"/>
  <c r="F67" i="62"/>
  <c r="AR67" i="62"/>
  <c r="E70" i="62"/>
  <c r="O67" i="59"/>
  <c r="AA68" i="60"/>
  <c r="T69" i="60"/>
  <c r="I70" i="61"/>
  <c r="AI70" i="61"/>
  <c r="N67" i="62"/>
  <c r="J68" i="62"/>
  <c r="F70" i="62"/>
  <c r="P67" i="59"/>
  <c r="V67" i="60"/>
  <c r="AO67" i="60"/>
  <c r="AD68" i="60"/>
  <c r="AJ69" i="60"/>
  <c r="M70" i="61"/>
  <c r="AQ70" i="61"/>
  <c r="O67" i="62"/>
  <c r="AK68" i="62"/>
  <c r="H70" i="62"/>
  <c r="X67" i="59"/>
  <c r="O70" i="59"/>
  <c r="AM70" i="59"/>
  <c r="AK57" i="60"/>
  <c r="W67" i="60"/>
  <c r="AS67" i="60"/>
  <c r="AH68" i="60"/>
  <c r="AK69" i="60"/>
  <c r="AN64" i="61"/>
  <c r="W68" i="61"/>
  <c r="N70" i="61"/>
  <c r="AR70" i="61"/>
  <c r="P67" i="62"/>
  <c r="E69" i="62"/>
  <c r="S70" i="62"/>
  <c r="P70" i="59"/>
  <c r="G67" i="60"/>
  <c r="E68" i="60"/>
  <c r="AI68" i="60"/>
  <c r="AM69" i="60"/>
  <c r="X68" i="61"/>
  <c r="O70" i="61"/>
  <c r="Q67" i="62"/>
  <c r="F69" i="62"/>
  <c r="C70" i="62"/>
  <c r="AT70" i="62"/>
  <c r="R70" i="62"/>
  <c r="AS70" i="62"/>
  <c r="Q70" i="62"/>
  <c r="AR70" i="62"/>
  <c r="I70" i="62"/>
  <c r="C65" i="61"/>
  <c r="AL65" i="61"/>
  <c r="AK67" i="59"/>
  <c r="AN67" i="59"/>
  <c r="L67" i="59"/>
  <c r="AM67" i="59"/>
  <c r="AL67" i="59"/>
  <c r="AH57" i="60"/>
  <c r="AD70" i="60"/>
  <c r="AI57" i="60"/>
  <c r="K69" i="60"/>
  <c r="AE70" i="60"/>
  <c r="G70" i="62"/>
  <c r="T57" i="60"/>
  <c r="AJ57" i="60"/>
  <c r="AN70" i="60"/>
  <c r="AO70" i="60"/>
  <c r="F70" i="60"/>
  <c r="AG70" i="60"/>
  <c r="E70" i="60"/>
  <c r="AF70" i="60"/>
  <c r="AS70" i="60"/>
  <c r="C65" i="63"/>
  <c r="AP65" i="63"/>
  <c r="AS69" i="60"/>
  <c r="Y69" i="60"/>
  <c r="H69" i="60"/>
  <c r="X69" i="60"/>
  <c r="AU69" i="60"/>
  <c r="W69" i="60"/>
  <c r="C64" i="62"/>
  <c r="T64" i="62"/>
  <c r="C70" i="61"/>
  <c r="AN70" i="61"/>
  <c r="Y70" i="61"/>
  <c r="L70" i="61"/>
  <c r="AM70" i="61"/>
  <c r="X70" i="61"/>
  <c r="K70" i="61"/>
  <c r="AL70" i="61"/>
  <c r="W70" i="61"/>
  <c r="J70" i="61"/>
  <c r="AD67" i="59"/>
  <c r="S68" i="60"/>
  <c r="V69" i="60"/>
  <c r="P70" i="60"/>
  <c r="Q70" i="61"/>
  <c r="AJ70" i="61"/>
  <c r="AF70" i="62"/>
  <c r="C67" i="60"/>
  <c r="AR67" i="60"/>
  <c r="AF67" i="60"/>
  <c r="R67" i="60"/>
  <c r="F67" i="60"/>
  <c r="AQ67" i="60"/>
  <c r="AE67" i="60"/>
  <c r="Q67" i="60"/>
  <c r="E67" i="60"/>
  <c r="AP67" i="60"/>
  <c r="AD67" i="60"/>
  <c r="P67" i="60"/>
  <c r="C66" i="63"/>
  <c r="AL66" i="63"/>
  <c r="C64" i="63"/>
  <c r="P64" i="63"/>
  <c r="G70" i="60"/>
  <c r="U69" i="60"/>
  <c r="O70" i="60"/>
  <c r="AL68" i="60"/>
  <c r="AG68" i="60"/>
  <c r="P68" i="60"/>
  <c r="AU68" i="60"/>
  <c r="AF68" i="60"/>
  <c r="O68" i="60"/>
  <c r="AT68" i="60"/>
  <c r="AE68" i="60"/>
  <c r="N68" i="60"/>
  <c r="AP54" i="59"/>
  <c r="AO67" i="59"/>
  <c r="T68" i="60"/>
  <c r="AQ68" i="60"/>
  <c r="Z69" i="60"/>
  <c r="Q70" i="60"/>
  <c r="R70" i="61"/>
  <c r="AK70" i="61"/>
  <c r="AS65" i="62"/>
  <c r="AG70" i="62"/>
  <c r="AL69" i="63"/>
  <c r="R69" i="63"/>
  <c r="Q69" i="63"/>
  <c r="AR68" i="61"/>
  <c r="AS68" i="61"/>
  <c r="K68" i="61"/>
  <c r="AL68" i="61"/>
  <c r="I68" i="61"/>
  <c r="AK68" i="61"/>
  <c r="H68" i="61"/>
  <c r="C70" i="59"/>
  <c r="AL70" i="59"/>
  <c r="W70" i="59"/>
  <c r="J70" i="59"/>
  <c r="AK70" i="59"/>
  <c r="V70" i="59"/>
  <c r="I70" i="59"/>
  <c r="AJ70" i="59"/>
  <c r="U70" i="59"/>
  <c r="G70" i="59"/>
  <c r="AP67" i="59"/>
  <c r="R70" i="59"/>
  <c r="AN70" i="59"/>
  <c r="K67" i="60"/>
  <c r="Z67" i="60"/>
  <c r="AT67" i="60"/>
  <c r="U68" i="60"/>
  <c r="AR68" i="60"/>
  <c r="AH69" i="60"/>
  <c r="R70" i="60"/>
  <c r="L68" i="61"/>
  <c r="Z69" i="61"/>
  <c r="S70" i="61"/>
  <c r="AO70" i="61"/>
  <c r="AK66" i="62"/>
  <c r="AH70" i="62"/>
  <c r="V66" i="63"/>
  <c r="AQ68" i="63"/>
  <c r="AS68" i="63"/>
  <c r="AK67" i="61"/>
  <c r="L67" i="61"/>
  <c r="C64" i="60"/>
  <c r="Y64" i="60"/>
  <c r="AP57" i="60"/>
  <c r="AE70" i="62"/>
  <c r="S70" i="59"/>
  <c r="AO70" i="59"/>
  <c r="S57" i="60"/>
  <c r="L67" i="60"/>
  <c r="AA67" i="60"/>
  <c r="AU67" i="60"/>
  <c r="Y68" i="60"/>
  <c r="AS68" i="60"/>
  <c r="AI69" i="60"/>
  <c r="S70" i="60"/>
  <c r="S68" i="61"/>
  <c r="AN69" i="61"/>
  <c r="U70" i="61"/>
  <c r="AP70" i="61"/>
  <c r="AI70" i="62"/>
  <c r="C67" i="63"/>
  <c r="AN67" i="63"/>
  <c r="AM67" i="63"/>
  <c r="AL67" i="63"/>
  <c r="AU68" i="59"/>
  <c r="AT68" i="59"/>
  <c r="AS68" i="59"/>
  <c r="I69" i="62"/>
  <c r="AD69" i="62"/>
  <c r="AM69" i="59"/>
  <c r="Y69" i="59"/>
  <c r="M69" i="59"/>
  <c r="AL69" i="59"/>
  <c r="X69" i="59"/>
  <c r="L69" i="59"/>
  <c r="AK69" i="59"/>
  <c r="W69" i="59"/>
  <c r="K69" i="59"/>
  <c r="AJ69" i="59"/>
  <c r="V69" i="59"/>
  <c r="J69" i="59"/>
  <c r="AU69" i="59"/>
  <c r="AI69" i="59"/>
  <c r="U69" i="59"/>
  <c r="I69" i="59"/>
  <c r="AT69" i="59"/>
  <c r="AH69" i="59"/>
  <c r="T69" i="59"/>
  <c r="H69" i="59"/>
  <c r="AS69" i="59"/>
  <c r="AG69" i="59"/>
  <c r="S69" i="59"/>
  <c r="G69" i="59"/>
  <c r="AR69" i="59"/>
  <c r="AF69" i="59"/>
  <c r="R69" i="59"/>
  <c r="N69" i="59"/>
  <c r="C69" i="59"/>
  <c r="O69" i="59"/>
  <c r="AR68" i="59"/>
  <c r="AF68" i="59"/>
  <c r="R68" i="59"/>
  <c r="F68" i="59"/>
  <c r="AQ68" i="59"/>
  <c r="AE68" i="59"/>
  <c r="Q68" i="59"/>
  <c r="E68" i="59"/>
  <c r="AP68" i="59"/>
  <c r="AD68" i="59"/>
  <c r="P68" i="59"/>
  <c r="AO68" i="59"/>
  <c r="AA68" i="59"/>
  <c r="O68" i="59"/>
  <c r="AN68" i="59"/>
  <c r="Z68" i="59"/>
  <c r="N68" i="59"/>
  <c r="AM68" i="59"/>
  <c r="Y68" i="59"/>
  <c r="M68" i="59"/>
  <c r="AL68" i="59"/>
  <c r="X68" i="59"/>
  <c r="L68" i="59"/>
  <c r="AG68" i="59"/>
  <c r="P69" i="59"/>
  <c r="C68" i="59"/>
  <c r="AH68" i="59"/>
  <c r="Q69" i="59"/>
  <c r="AI68" i="59"/>
  <c r="H68" i="59"/>
  <c r="AJ68" i="59"/>
  <c r="AA69" i="59"/>
  <c r="G68" i="59"/>
  <c r="Z69" i="59"/>
  <c r="I68" i="59"/>
  <c r="AK68" i="59"/>
  <c r="AD69" i="59"/>
  <c r="E67" i="59"/>
  <c r="Q67" i="59"/>
  <c r="AE67" i="59"/>
  <c r="AQ67" i="59"/>
  <c r="C67" i="59"/>
  <c r="F67" i="59"/>
  <c r="R67" i="59"/>
  <c r="AF67" i="59"/>
  <c r="AR67" i="59"/>
  <c r="G67" i="59"/>
  <c r="S67" i="59"/>
  <c r="AG67" i="59"/>
  <c r="AS67" i="59"/>
  <c r="H67" i="59"/>
  <c r="T67" i="59"/>
  <c r="AH67" i="59"/>
  <c r="AT67" i="59"/>
  <c r="I67" i="59"/>
  <c r="U67" i="59"/>
  <c r="AI67" i="59"/>
  <c r="AU67" i="59"/>
  <c r="J67" i="59"/>
  <c r="V67" i="59"/>
  <c r="AJ67" i="59"/>
  <c r="K67" i="59"/>
  <c r="W67" i="59"/>
  <c r="H70" i="59"/>
  <c r="T70" i="59"/>
  <c r="AH70" i="59"/>
  <c r="AT70" i="59"/>
  <c r="AH70" i="60"/>
  <c r="C70" i="60"/>
  <c r="U70" i="60"/>
  <c r="AO69" i="60"/>
  <c r="V70" i="60"/>
  <c r="C69" i="60"/>
  <c r="K70" i="60"/>
  <c r="J68" i="60"/>
  <c r="V68" i="60"/>
  <c r="AJ68" i="60"/>
  <c r="E69" i="60"/>
  <c r="Q69" i="60"/>
  <c r="AE69" i="60"/>
  <c r="AQ69" i="60"/>
  <c r="L70" i="60"/>
  <c r="X70" i="60"/>
  <c r="AL70" i="60"/>
  <c r="C68" i="60"/>
  <c r="T70" i="60"/>
  <c r="AI70" i="60"/>
  <c r="AA69" i="60"/>
  <c r="AJ70" i="60"/>
  <c r="AP69" i="60"/>
  <c r="AK70" i="60"/>
  <c r="K68" i="60"/>
  <c r="W68" i="60"/>
  <c r="AK68" i="60"/>
  <c r="F69" i="60"/>
  <c r="R69" i="60"/>
  <c r="AF69" i="60"/>
  <c r="AR69" i="60"/>
  <c r="M70" i="60"/>
  <c r="Y70" i="60"/>
  <c r="AM70" i="60"/>
  <c r="H70" i="60"/>
  <c r="AT70" i="60"/>
  <c r="I70" i="60"/>
  <c r="AU70" i="60"/>
  <c r="O69" i="60"/>
  <c r="J70" i="60"/>
  <c r="P69" i="60"/>
  <c r="AD69" i="60"/>
  <c r="W70" i="60"/>
  <c r="L68" i="60"/>
  <c r="X68" i="60"/>
  <c r="G69" i="60"/>
  <c r="S69" i="60"/>
  <c r="AG69" i="60"/>
  <c r="N70" i="60"/>
  <c r="Z70" i="60"/>
  <c r="C65" i="60"/>
  <c r="AO69" i="61"/>
  <c r="O69" i="61"/>
  <c r="C69" i="61"/>
  <c r="N67" i="61"/>
  <c r="Z67" i="61"/>
  <c r="AN67" i="61"/>
  <c r="P69" i="61"/>
  <c r="AD69" i="61"/>
  <c r="AP69" i="61"/>
  <c r="O67" i="61"/>
  <c r="AA67" i="61"/>
  <c r="AO67" i="61"/>
  <c r="J68" i="61"/>
  <c r="V68" i="61"/>
  <c r="AJ68" i="61"/>
  <c r="E69" i="61"/>
  <c r="Q69" i="61"/>
  <c r="AE69" i="61"/>
  <c r="AQ69" i="61"/>
  <c r="C68" i="61"/>
  <c r="AA69" i="61"/>
  <c r="F69" i="61"/>
  <c r="R69" i="61"/>
  <c r="AF69" i="61"/>
  <c r="AR69" i="61"/>
  <c r="Q67" i="61"/>
  <c r="AE67" i="61"/>
  <c r="AQ67" i="61"/>
  <c r="G69" i="61"/>
  <c r="C67" i="61"/>
  <c r="F67" i="61"/>
  <c r="AF67" i="61"/>
  <c r="Y68" i="61"/>
  <c r="S67" i="61"/>
  <c r="AS67" i="61"/>
  <c r="Z68" i="61"/>
  <c r="AN68" i="61"/>
  <c r="I69" i="61"/>
  <c r="U69" i="61"/>
  <c r="AI69" i="61"/>
  <c r="AU69" i="61"/>
  <c r="H67" i="61"/>
  <c r="AH67" i="61"/>
  <c r="AT67" i="61"/>
  <c r="O68" i="61"/>
  <c r="AA68" i="61"/>
  <c r="AO68" i="61"/>
  <c r="J69" i="61"/>
  <c r="V69" i="61"/>
  <c r="AJ69" i="61"/>
  <c r="I67" i="61"/>
  <c r="AI67" i="61"/>
  <c r="P68" i="61"/>
  <c r="AP68" i="61"/>
  <c r="W69" i="61"/>
  <c r="V67" i="61"/>
  <c r="Q68" i="61"/>
  <c r="AL69" i="61"/>
  <c r="E67" i="61"/>
  <c r="S69" i="61"/>
  <c r="AG69" i="61"/>
  <c r="AS69" i="61"/>
  <c r="R67" i="61"/>
  <c r="AR67" i="61"/>
  <c r="M68" i="61"/>
  <c r="AM68" i="61"/>
  <c r="H69" i="61"/>
  <c r="T69" i="61"/>
  <c r="AH69" i="61"/>
  <c r="AT69" i="61"/>
  <c r="G67" i="61"/>
  <c r="AG67" i="61"/>
  <c r="N68" i="61"/>
  <c r="T67" i="61"/>
  <c r="U67" i="61"/>
  <c r="AU67" i="61"/>
  <c r="AD68" i="61"/>
  <c r="K69" i="61"/>
  <c r="AK69" i="61"/>
  <c r="J67" i="61"/>
  <c r="AJ67" i="61"/>
  <c r="E68" i="61"/>
  <c r="AE68" i="61"/>
  <c r="AQ68" i="61"/>
  <c r="L69" i="61"/>
  <c r="X69" i="61"/>
  <c r="K67" i="61"/>
  <c r="W67" i="61"/>
  <c r="F68" i="61"/>
  <c r="R68" i="61"/>
  <c r="AF68" i="61"/>
  <c r="M69" i="61"/>
  <c r="Y69" i="61"/>
  <c r="H70" i="61"/>
  <c r="T70" i="61"/>
  <c r="AH70" i="61"/>
  <c r="AT70" i="61"/>
  <c r="P67" i="63"/>
  <c r="AD67" i="63"/>
  <c r="AP67" i="63"/>
  <c r="L68" i="63"/>
  <c r="AF68" i="63"/>
  <c r="AU68" i="63"/>
  <c r="Z69" i="63"/>
  <c r="AS69" i="63"/>
  <c r="AI70" i="63"/>
  <c r="W70" i="63"/>
  <c r="AQ69" i="63"/>
  <c r="J70" i="62"/>
  <c r="V70" i="62"/>
  <c r="AJ70" i="62"/>
  <c r="E67" i="63"/>
  <c r="Q67" i="63"/>
  <c r="AE67" i="63"/>
  <c r="AQ67" i="63"/>
  <c r="M68" i="63"/>
  <c r="AG68" i="63"/>
  <c r="E69" i="63"/>
  <c r="AA69" i="63"/>
  <c r="H70" i="63"/>
  <c r="AJ70" i="63"/>
  <c r="P69" i="62"/>
  <c r="AP69" i="62"/>
  <c r="K70" i="62"/>
  <c r="W70" i="62"/>
  <c r="AK70" i="62"/>
  <c r="F67" i="63"/>
  <c r="R67" i="63"/>
  <c r="AF67" i="63"/>
  <c r="AR67" i="63"/>
  <c r="N68" i="63"/>
  <c r="AH68" i="63"/>
  <c r="F69" i="63"/>
  <c r="AD69" i="63"/>
  <c r="I70" i="63"/>
  <c r="AK70" i="63"/>
  <c r="C69" i="62"/>
  <c r="Q69" i="62"/>
  <c r="AQ69" i="62"/>
  <c r="L70" i="62"/>
  <c r="X70" i="62"/>
  <c r="AL70" i="62"/>
  <c r="G67" i="63"/>
  <c r="S67" i="63"/>
  <c r="AG67" i="63"/>
  <c r="AS67" i="63"/>
  <c r="R68" i="63"/>
  <c r="AI68" i="63"/>
  <c r="G69" i="63"/>
  <c r="AE69" i="63"/>
  <c r="J70" i="63"/>
  <c r="AL70" i="63"/>
  <c r="K68" i="62"/>
  <c r="R69" i="62"/>
  <c r="AR69" i="62"/>
  <c r="M70" i="62"/>
  <c r="Y70" i="62"/>
  <c r="AM70" i="62"/>
  <c r="H67" i="63"/>
  <c r="T67" i="63"/>
  <c r="AH67" i="63"/>
  <c r="AT67" i="63"/>
  <c r="S68" i="63"/>
  <c r="AJ68" i="63"/>
  <c r="M69" i="63"/>
  <c r="AF69" i="63"/>
  <c r="K70" i="63"/>
  <c r="AT70" i="63"/>
  <c r="Z67" i="62"/>
  <c r="V68" i="62"/>
  <c r="S69" i="62"/>
  <c r="AS69" i="62"/>
  <c r="N70" i="62"/>
  <c r="Z70" i="62"/>
  <c r="AN70" i="62"/>
  <c r="I67" i="63"/>
  <c r="U67" i="63"/>
  <c r="AI67" i="63"/>
  <c r="AU67" i="63"/>
  <c r="T68" i="63"/>
  <c r="AK68" i="63"/>
  <c r="N69" i="63"/>
  <c r="AG69" i="63"/>
  <c r="L70" i="63"/>
  <c r="AU70" i="63"/>
  <c r="AA67" i="62"/>
  <c r="W68" i="62"/>
  <c r="T69" i="62"/>
  <c r="AT69" i="62"/>
  <c r="O70" i="62"/>
  <c r="AA70" i="62"/>
  <c r="AO70" i="62"/>
  <c r="J67" i="63"/>
  <c r="V67" i="63"/>
  <c r="AJ67" i="63"/>
  <c r="F68" i="63"/>
  <c r="U68" i="63"/>
  <c r="AL68" i="63"/>
  <c r="O69" i="63"/>
  <c r="AM69" i="63"/>
  <c r="T70" i="63"/>
  <c r="S69" i="63"/>
  <c r="X70" i="63"/>
  <c r="K68" i="63"/>
  <c r="Z68" i="63"/>
  <c r="AT68" i="63"/>
  <c r="Y69" i="63"/>
  <c r="AR69" i="63"/>
  <c r="AH70" i="63"/>
  <c r="AU44" i="59"/>
  <c r="P57" i="60"/>
  <c r="AD67" i="62"/>
  <c r="AJ68" i="62"/>
  <c r="U69" i="62"/>
  <c r="AU69" i="62"/>
  <c r="P70" i="62"/>
  <c r="AD70" i="62"/>
  <c r="AP70" i="62"/>
  <c r="K67" i="63"/>
  <c r="W67" i="63"/>
  <c r="AK67" i="63"/>
  <c r="G68" i="63"/>
  <c r="V68" i="63"/>
  <c r="AM68" i="63"/>
  <c r="P69" i="63"/>
  <c r="AN69" i="63"/>
  <c r="U70" i="63"/>
  <c r="I68" i="62"/>
  <c r="U68" i="62"/>
  <c r="AI68" i="62"/>
  <c r="AU68" i="62"/>
  <c r="X68" i="62"/>
  <c r="Y68" i="62"/>
  <c r="AG67" i="62"/>
  <c r="Z68" i="62"/>
  <c r="C67" i="62"/>
  <c r="T67" i="62"/>
  <c r="AA68" i="62"/>
  <c r="L68" i="62"/>
  <c r="AL68" i="62"/>
  <c r="C68" i="62"/>
  <c r="S67" i="62"/>
  <c r="N68" i="62"/>
  <c r="AH67" i="62"/>
  <c r="O68" i="62"/>
  <c r="J69" i="62"/>
  <c r="AJ69" i="62"/>
  <c r="I67" i="62"/>
  <c r="AI67" i="62"/>
  <c r="AU67" i="62"/>
  <c r="P68" i="62"/>
  <c r="AD68" i="62"/>
  <c r="AP68" i="62"/>
  <c r="K69" i="62"/>
  <c r="W69" i="62"/>
  <c r="AK69" i="62"/>
  <c r="V67" i="62"/>
  <c r="W67" i="62"/>
  <c r="F68" i="62"/>
  <c r="AF68" i="62"/>
  <c r="AR68" i="62"/>
  <c r="M69" i="62"/>
  <c r="AM69" i="62"/>
  <c r="L67" i="62"/>
  <c r="X67" i="62"/>
  <c r="AL67" i="62"/>
  <c r="G68" i="62"/>
  <c r="S68" i="62"/>
  <c r="AG68" i="62"/>
  <c r="AS68" i="62"/>
  <c r="N69" i="62"/>
  <c r="Z69" i="62"/>
  <c r="AN69" i="62"/>
  <c r="M68" i="62"/>
  <c r="AM68" i="62"/>
  <c r="G67" i="62"/>
  <c r="AS67" i="62"/>
  <c r="AN68" i="62"/>
  <c r="H67" i="62"/>
  <c r="AT67" i="62"/>
  <c r="AO68" i="62"/>
  <c r="V69" i="62"/>
  <c r="U67" i="62"/>
  <c r="J67" i="62"/>
  <c r="AJ67" i="62"/>
  <c r="E68" i="62"/>
  <c r="Q68" i="62"/>
  <c r="AE68" i="62"/>
  <c r="AQ68" i="62"/>
  <c r="L69" i="62"/>
  <c r="X69" i="62"/>
  <c r="AL69" i="62"/>
  <c r="K67" i="62"/>
  <c r="AK67" i="62"/>
  <c r="R68" i="62"/>
  <c r="Y69" i="62"/>
  <c r="M67" i="62"/>
  <c r="Y67" i="62"/>
  <c r="H68" i="62"/>
  <c r="T68" i="62"/>
  <c r="AH68" i="62"/>
  <c r="O69" i="62"/>
  <c r="AA69" i="62"/>
  <c r="M70" i="63"/>
  <c r="AM70" i="63"/>
  <c r="C70" i="63"/>
  <c r="N70" i="63"/>
  <c r="AN70" i="63"/>
  <c r="H69" i="63"/>
  <c r="AH69" i="63"/>
  <c r="O70" i="63"/>
  <c r="AA70" i="63"/>
  <c r="U69" i="63"/>
  <c r="AU69" i="63"/>
  <c r="AD70" i="63"/>
  <c r="O68" i="63"/>
  <c r="AO68" i="63"/>
  <c r="V69" i="63"/>
  <c r="E70" i="63"/>
  <c r="AE70" i="63"/>
  <c r="C68" i="63"/>
  <c r="P68" i="63"/>
  <c r="AD68" i="63"/>
  <c r="AP68" i="63"/>
  <c r="K69" i="63"/>
  <c r="W69" i="63"/>
  <c r="AK69" i="63"/>
  <c r="F70" i="63"/>
  <c r="R70" i="63"/>
  <c r="AF70" i="63"/>
  <c r="AR70" i="63"/>
  <c r="Y70" i="63"/>
  <c r="Z70" i="63"/>
  <c r="T69" i="63"/>
  <c r="AT69" i="63"/>
  <c r="AO70" i="63"/>
  <c r="C69" i="63"/>
  <c r="I69" i="63"/>
  <c r="AI69" i="63"/>
  <c r="P70" i="63"/>
  <c r="AP70" i="63"/>
  <c r="AA68" i="63"/>
  <c r="J69" i="63"/>
  <c r="AJ69" i="63"/>
  <c r="Q70" i="63"/>
  <c r="AQ70" i="63"/>
  <c r="E68" i="63"/>
  <c r="Q68" i="63"/>
  <c r="AE68" i="63"/>
  <c r="L69" i="63"/>
  <c r="X69" i="63"/>
  <c r="G70" i="63"/>
  <c r="S70" i="63"/>
  <c r="AG70" i="63"/>
  <c r="AM66" i="63"/>
  <c r="X54" i="62"/>
  <c r="W43" i="63"/>
  <c r="U57" i="63"/>
  <c r="AH57" i="63"/>
  <c r="AI57" i="63"/>
  <c r="AL57" i="63"/>
  <c r="AT57" i="63"/>
  <c r="AH57" i="59"/>
  <c r="V49" i="60"/>
  <c r="AD60" i="59"/>
  <c r="AH50" i="60"/>
  <c r="AU57" i="63"/>
  <c r="AM44" i="62"/>
  <c r="AU55" i="62"/>
  <c r="AI64" i="63"/>
  <c r="AL56" i="62"/>
  <c r="AI65" i="61"/>
  <c r="H56" i="60"/>
  <c r="AJ65" i="61"/>
  <c r="O65" i="62"/>
  <c r="K65" i="63"/>
  <c r="AA65" i="62"/>
  <c r="L65" i="63"/>
  <c r="L57" i="62"/>
  <c r="AE65" i="62"/>
  <c r="O65" i="63"/>
  <c r="P57" i="62"/>
  <c r="AF65" i="62"/>
  <c r="U65" i="63"/>
  <c r="X57" i="62"/>
  <c r="AG65" i="62"/>
  <c r="AE65" i="63"/>
  <c r="AL57" i="62"/>
  <c r="AH65" i="62"/>
  <c r="AJ65" i="63"/>
  <c r="X49" i="59"/>
  <c r="H57" i="61"/>
  <c r="AM57" i="62"/>
  <c r="AR65" i="62"/>
  <c r="R64" i="63"/>
  <c r="AM65" i="63"/>
  <c r="J57" i="63"/>
  <c r="AN65" i="63"/>
  <c r="AP57" i="61"/>
  <c r="U43" i="62"/>
  <c r="AP57" i="62"/>
  <c r="K57" i="63"/>
  <c r="AG64" i="63"/>
  <c r="AL57" i="61"/>
  <c r="AN57" i="62"/>
  <c r="S64" i="63"/>
  <c r="AD57" i="59"/>
  <c r="AT62" i="60"/>
  <c r="AJ44" i="62"/>
  <c r="L57" i="63"/>
  <c r="AH64" i="63"/>
  <c r="T66" i="63"/>
  <c r="AG43" i="60"/>
  <c r="L57" i="61"/>
  <c r="M57" i="61"/>
  <c r="AF64" i="61"/>
  <c r="V65" i="63"/>
  <c r="AO65" i="63"/>
  <c r="G57" i="59"/>
  <c r="N57" i="61"/>
  <c r="AO57" i="62"/>
  <c r="T57" i="63"/>
  <c r="AM60" i="63"/>
  <c r="W65" i="63"/>
  <c r="AQ65" i="63"/>
  <c r="AF55" i="60"/>
  <c r="O57" i="61"/>
  <c r="AO61" i="63"/>
  <c r="X65" i="63"/>
  <c r="AR65" i="63"/>
  <c r="P57" i="61"/>
  <c r="T65" i="61"/>
  <c r="M57" i="62"/>
  <c r="W58" i="62"/>
  <c r="V57" i="63"/>
  <c r="H65" i="63"/>
  <c r="Y65" i="63"/>
  <c r="AD57" i="61"/>
  <c r="U65" i="61"/>
  <c r="N57" i="62"/>
  <c r="AP58" i="62"/>
  <c r="W57" i="63"/>
  <c r="I65" i="63"/>
  <c r="Z65" i="63"/>
  <c r="H66" i="63"/>
  <c r="T57" i="59"/>
  <c r="AH57" i="61"/>
  <c r="V65" i="61"/>
  <c r="AU42" i="62"/>
  <c r="O57" i="62"/>
  <c r="AU65" i="62"/>
  <c r="X57" i="63"/>
  <c r="Q64" i="63"/>
  <c r="J65" i="63"/>
  <c r="AA65" i="63"/>
  <c r="J66" i="63"/>
  <c r="AE57" i="59"/>
  <c r="AM57" i="61"/>
  <c r="AF57" i="59"/>
  <c r="AN57" i="61"/>
  <c r="AQ65" i="61"/>
  <c r="AK44" i="62"/>
  <c r="AA57" i="62"/>
  <c r="AF66" i="62"/>
  <c r="H57" i="63"/>
  <c r="AJ57" i="63"/>
  <c r="T64" i="63"/>
  <c r="M65" i="63"/>
  <c r="AK65" i="63"/>
  <c r="W66" i="63"/>
  <c r="S56" i="61"/>
  <c r="AO57" i="61"/>
  <c r="AL44" i="62"/>
  <c r="AD57" i="62"/>
  <c r="M65" i="62"/>
  <c r="AH66" i="62"/>
  <c r="I57" i="63"/>
  <c r="AK57" i="63"/>
  <c r="AF64" i="63"/>
  <c r="N65" i="63"/>
  <c r="AL65" i="63"/>
  <c r="X66" i="63"/>
  <c r="AQ48" i="59"/>
  <c r="C63" i="61"/>
  <c r="AR63" i="61"/>
  <c r="C42" i="63"/>
  <c r="AQ42" i="63"/>
  <c r="C52" i="62"/>
  <c r="U52" i="62"/>
  <c r="C62" i="61"/>
  <c r="W62" i="61"/>
  <c r="C50" i="61"/>
  <c r="AO50" i="61"/>
  <c r="AG64" i="62"/>
  <c r="C43" i="63"/>
  <c r="AJ43" i="63"/>
  <c r="AT43" i="63"/>
  <c r="AE43" i="63"/>
  <c r="C61" i="60"/>
  <c r="H61" i="60"/>
  <c r="AP64" i="61"/>
  <c r="AP65" i="62"/>
  <c r="AQ65" i="62"/>
  <c r="Y65" i="62"/>
  <c r="K65" i="62"/>
  <c r="AO65" i="62"/>
  <c r="X65" i="62"/>
  <c r="J65" i="62"/>
  <c r="AM65" i="62"/>
  <c r="W65" i="62"/>
  <c r="I65" i="62"/>
  <c r="AL65" i="62"/>
  <c r="V65" i="62"/>
  <c r="H65" i="62"/>
  <c r="AK65" i="62"/>
  <c r="U65" i="62"/>
  <c r="G65" i="62"/>
  <c r="AJ65" i="62"/>
  <c r="T65" i="62"/>
  <c r="F65" i="62"/>
  <c r="AI65" i="62"/>
  <c r="S65" i="62"/>
  <c r="E65" i="62"/>
  <c r="Y66" i="63"/>
  <c r="AE64" i="61"/>
  <c r="L65" i="62"/>
  <c r="AT65" i="62"/>
  <c r="AO57" i="59"/>
  <c r="S57" i="59"/>
  <c r="AR57" i="59"/>
  <c r="AT57" i="59"/>
  <c r="R57" i="59"/>
  <c r="AS57" i="59"/>
  <c r="Q57" i="59"/>
  <c r="P57" i="59"/>
  <c r="AQ57" i="59"/>
  <c r="H57" i="59"/>
  <c r="AP57" i="59"/>
  <c r="E57" i="59"/>
  <c r="N43" i="63"/>
  <c r="AK66" i="63"/>
  <c r="S66" i="63"/>
  <c r="AJ66" i="63"/>
  <c r="P66" i="63"/>
  <c r="AH66" i="63"/>
  <c r="O66" i="63"/>
  <c r="AE66" i="63"/>
  <c r="N66" i="63"/>
  <c r="AD66" i="63"/>
  <c r="M66" i="63"/>
  <c r="AR66" i="63"/>
  <c r="AA66" i="63"/>
  <c r="L66" i="63"/>
  <c r="AQ66" i="63"/>
  <c r="Z66" i="63"/>
  <c r="K66" i="63"/>
  <c r="C48" i="61"/>
  <c r="AU48" i="61"/>
  <c r="AN66" i="63"/>
  <c r="C51" i="63"/>
  <c r="AI51" i="63"/>
  <c r="AH51" i="63"/>
  <c r="AA51" i="63"/>
  <c r="P51" i="63"/>
  <c r="AT51" i="63"/>
  <c r="AO64" i="61"/>
  <c r="Q65" i="62"/>
  <c r="O43" i="63"/>
  <c r="F66" i="63"/>
  <c r="AO66" i="63"/>
  <c r="C62" i="62"/>
  <c r="AP62" i="62"/>
  <c r="C60" i="61"/>
  <c r="O60" i="61"/>
  <c r="U56" i="59"/>
  <c r="AS61" i="62"/>
  <c r="AU61" i="62"/>
  <c r="AO57" i="60"/>
  <c r="AG57" i="60"/>
  <c r="K57" i="60"/>
  <c r="AD57" i="60"/>
  <c r="H57" i="60"/>
  <c r="AF57" i="60"/>
  <c r="J57" i="60"/>
  <c r="AU57" i="60"/>
  <c r="AE57" i="60"/>
  <c r="I57" i="60"/>
  <c r="AT57" i="60"/>
  <c r="AS57" i="60"/>
  <c r="W57" i="60"/>
  <c r="G57" i="60"/>
  <c r="AR57" i="60"/>
  <c r="V57" i="60"/>
  <c r="F57" i="60"/>
  <c r="AQ57" i="60"/>
  <c r="U57" i="60"/>
  <c r="E57" i="60"/>
  <c r="R57" i="60"/>
  <c r="R65" i="62"/>
  <c r="V43" i="63"/>
  <c r="G66" i="63"/>
  <c r="AP66" i="63"/>
  <c r="AR65" i="61"/>
  <c r="P66" i="62"/>
  <c r="T57" i="61"/>
  <c r="AT57" i="61"/>
  <c r="K65" i="61"/>
  <c r="Q66" i="62"/>
  <c r="AD62" i="63"/>
  <c r="P44" i="61"/>
  <c r="L65" i="61"/>
  <c r="AR58" i="62"/>
  <c r="R66" i="62"/>
  <c r="Q65" i="63"/>
  <c r="AF65" i="63"/>
  <c r="AS65" i="63"/>
  <c r="C41" i="60"/>
  <c r="Z46" i="61"/>
  <c r="Y57" i="61"/>
  <c r="Q65" i="61"/>
  <c r="V45" i="62"/>
  <c r="Y57" i="62"/>
  <c r="AU60" i="62"/>
  <c r="T66" i="62"/>
  <c r="E65" i="63"/>
  <c r="R65" i="63"/>
  <c r="AG65" i="63"/>
  <c r="AT65" i="63"/>
  <c r="Z57" i="61"/>
  <c r="R65" i="61"/>
  <c r="AP48" i="62"/>
  <c r="Z57" i="62"/>
  <c r="V66" i="62"/>
  <c r="F65" i="63"/>
  <c r="S65" i="63"/>
  <c r="AH65" i="63"/>
  <c r="AU65" i="63"/>
  <c r="X57" i="61"/>
  <c r="F57" i="59"/>
  <c r="AA57" i="61"/>
  <c r="S65" i="61"/>
  <c r="W66" i="62"/>
  <c r="G65" i="63"/>
  <c r="T65" i="63"/>
  <c r="AI65" i="63"/>
  <c r="C59" i="59"/>
  <c r="C47" i="59"/>
  <c r="C52" i="59"/>
  <c r="AR46" i="59"/>
  <c r="I57" i="59"/>
  <c r="U57" i="59"/>
  <c r="AU57" i="59"/>
  <c r="C57" i="59"/>
  <c r="C51" i="59"/>
  <c r="J57" i="59"/>
  <c r="V57" i="59"/>
  <c r="AE58" i="59"/>
  <c r="K57" i="59"/>
  <c r="W57" i="59"/>
  <c r="AK57" i="59"/>
  <c r="L57" i="59"/>
  <c r="X57" i="59"/>
  <c r="AL57" i="59"/>
  <c r="M57" i="59"/>
  <c r="Y57" i="59"/>
  <c r="AM57" i="59"/>
  <c r="N57" i="59"/>
  <c r="Z57" i="59"/>
  <c r="AN57" i="59"/>
  <c r="C53" i="59"/>
  <c r="AI57" i="59"/>
  <c r="AJ57" i="59"/>
  <c r="O57" i="59"/>
  <c r="AA57" i="59"/>
  <c r="C60" i="60"/>
  <c r="AK46" i="60"/>
  <c r="C51" i="60"/>
  <c r="AL52" i="60"/>
  <c r="M57" i="60"/>
  <c r="Y57" i="60"/>
  <c r="AM57" i="60"/>
  <c r="C53" i="60"/>
  <c r="N57" i="60"/>
  <c r="Z57" i="60"/>
  <c r="AN57" i="60"/>
  <c r="L57" i="60"/>
  <c r="X57" i="60"/>
  <c r="AL57" i="60"/>
  <c r="C57" i="60"/>
  <c r="O57" i="60"/>
  <c r="AA57" i="60"/>
  <c r="C59" i="61"/>
  <c r="E57" i="61"/>
  <c r="Q57" i="61"/>
  <c r="AE57" i="61"/>
  <c r="AQ57" i="61"/>
  <c r="C57" i="61"/>
  <c r="F57" i="61"/>
  <c r="R57" i="61"/>
  <c r="AF57" i="61"/>
  <c r="AR57" i="61"/>
  <c r="F60" i="61"/>
  <c r="G57" i="61"/>
  <c r="S57" i="61"/>
  <c r="AG57" i="61"/>
  <c r="AS57" i="61"/>
  <c r="C58" i="61"/>
  <c r="I57" i="61"/>
  <c r="U57" i="61"/>
  <c r="AI57" i="61"/>
  <c r="AU57" i="61"/>
  <c r="J57" i="61"/>
  <c r="V57" i="61"/>
  <c r="AJ57" i="61"/>
  <c r="AF42" i="61"/>
  <c r="K57" i="61"/>
  <c r="W57" i="61"/>
  <c r="C53" i="62"/>
  <c r="AS58" i="62"/>
  <c r="AT58" i="62"/>
  <c r="S46" i="62"/>
  <c r="AE57" i="62"/>
  <c r="F57" i="62"/>
  <c r="AF57" i="62"/>
  <c r="AK59" i="62"/>
  <c r="V47" i="62"/>
  <c r="S57" i="62"/>
  <c r="AS57" i="62"/>
  <c r="C44" i="62"/>
  <c r="AP44" i="62"/>
  <c r="T57" i="62"/>
  <c r="AN59" i="62"/>
  <c r="S44" i="62"/>
  <c r="AJ49" i="62"/>
  <c r="I57" i="62"/>
  <c r="U57" i="62"/>
  <c r="AI57" i="62"/>
  <c r="AU57" i="62"/>
  <c r="C61" i="62"/>
  <c r="C59" i="62"/>
  <c r="C58" i="62"/>
  <c r="Q57" i="62"/>
  <c r="AL59" i="62"/>
  <c r="C57" i="62"/>
  <c r="AH57" i="62"/>
  <c r="T44" i="62"/>
  <c r="AP50" i="62"/>
  <c r="J57" i="62"/>
  <c r="V57" i="62"/>
  <c r="AJ57" i="62"/>
  <c r="AK58" i="62"/>
  <c r="AO61" i="62"/>
  <c r="C46" i="62"/>
  <c r="E57" i="62"/>
  <c r="AQ57" i="62"/>
  <c r="C51" i="62"/>
  <c r="R57" i="62"/>
  <c r="AR57" i="62"/>
  <c r="G57" i="62"/>
  <c r="AG57" i="62"/>
  <c r="H57" i="62"/>
  <c r="AT57" i="62"/>
  <c r="K57" i="62"/>
  <c r="W57" i="62"/>
  <c r="C59" i="63"/>
  <c r="C47" i="63"/>
  <c r="C52" i="63"/>
  <c r="AJ51" i="63"/>
  <c r="M57" i="63"/>
  <c r="Y57" i="63"/>
  <c r="AM57" i="63"/>
  <c r="N57" i="63"/>
  <c r="AN57" i="63"/>
  <c r="AU53" i="63"/>
  <c r="AU63" i="63"/>
  <c r="C56" i="63"/>
  <c r="C50" i="63"/>
  <c r="AS44" i="63"/>
  <c r="P57" i="63"/>
  <c r="AD57" i="63"/>
  <c r="AP57" i="63"/>
  <c r="AD45" i="63"/>
  <c r="Q57" i="63"/>
  <c r="AE57" i="63"/>
  <c r="F57" i="63"/>
  <c r="R57" i="63"/>
  <c r="AF57" i="63"/>
  <c r="AR57" i="63"/>
  <c r="C63" i="63"/>
  <c r="C57" i="63"/>
  <c r="Z57" i="63"/>
  <c r="O57" i="63"/>
  <c r="AA57" i="63"/>
  <c r="AO57" i="63"/>
  <c r="E57" i="63"/>
  <c r="AQ57" i="63"/>
  <c r="G57" i="63"/>
  <c r="S57" i="63"/>
  <c r="AG57" i="63"/>
  <c r="V55" i="62"/>
  <c r="J44" i="63"/>
  <c r="AS55" i="62"/>
  <c r="AJ56" i="63"/>
  <c r="Z59" i="63"/>
  <c r="AR62" i="62"/>
  <c r="AK56" i="63"/>
  <c r="AL49" i="62"/>
  <c r="O61" i="62"/>
  <c r="O44" i="63"/>
  <c r="AM49" i="62"/>
  <c r="P61" i="62"/>
  <c r="AG43" i="63"/>
  <c r="P44" i="63"/>
  <c r="M52" i="63"/>
  <c r="AU44" i="62"/>
  <c r="AO49" i="62"/>
  <c r="Y61" i="62"/>
  <c r="H43" i="63"/>
  <c r="AI43" i="63"/>
  <c r="Q44" i="63"/>
  <c r="O52" i="63"/>
  <c r="Q59" i="62"/>
  <c r="K44" i="62"/>
  <c r="U59" i="62"/>
  <c r="AA61" i="62"/>
  <c r="J43" i="63"/>
  <c r="AP43" i="63"/>
  <c r="AD44" i="63"/>
  <c r="M51" i="63"/>
  <c r="Z53" i="63"/>
  <c r="AE50" i="61"/>
  <c r="Y59" i="63"/>
  <c r="K44" i="63"/>
  <c r="AL56" i="63"/>
  <c r="J44" i="62"/>
  <c r="Z61" i="62"/>
  <c r="I43" i="63"/>
  <c r="AO43" i="63"/>
  <c r="AA44" i="63"/>
  <c r="AP61" i="63"/>
  <c r="M44" i="62"/>
  <c r="AM46" i="62"/>
  <c r="AE59" i="62"/>
  <c r="AD61" i="62"/>
  <c r="K43" i="63"/>
  <c r="AQ43" i="63"/>
  <c r="AI44" i="63"/>
  <c r="N51" i="63"/>
  <c r="AP50" i="61"/>
  <c r="AQ50" i="61"/>
  <c r="AK49" i="62"/>
  <c r="N44" i="63"/>
  <c r="AA59" i="63"/>
  <c r="R44" i="62"/>
  <c r="AF59" i="62"/>
  <c r="AQ61" i="62"/>
  <c r="L43" i="63"/>
  <c r="AR43" i="63"/>
  <c r="AJ44" i="63"/>
  <c r="O51" i="63"/>
  <c r="AL41" i="61"/>
  <c r="AK41" i="61"/>
  <c r="AJ41" i="61"/>
  <c r="X41" i="61"/>
  <c r="W41" i="61"/>
  <c r="T41" i="61"/>
  <c r="S41" i="61"/>
  <c r="AP63" i="62"/>
  <c r="AO63" i="62"/>
  <c r="Z63" i="62"/>
  <c r="M63" i="62"/>
  <c r="X63" i="62"/>
  <c r="K63" i="62"/>
  <c r="AK63" i="62"/>
  <c r="V63" i="62"/>
  <c r="I63" i="62"/>
  <c r="AJ63" i="62"/>
  <c r="U63" i="62"/>
  <c r="H63" i="62"/>
  <c r="T63" i="62"/>
  <c r="AN63" i="62"/>
  <c r="Y63" i="62"/>
  <c r="L63" i="62"/>
  <c r="AM63" i="62"/>
  <c r="AL63" i="62"/>
  <c r="W63" i="62"/>
  <c r="J63" i="62"/>
  <c r="AI63" i="62"/>
  <c r="G63" i="62"/>
  <c r="AH63" i="62"/>
  <c r="AH48" i="63"/>
  <c r="AT48" i="63"/>
  <c r="AS48" i="63"/>
  <c r="AS41" i="61"/>
  <c r="E63" i="62"/>
  <c r="AQ63" i="62"/>
  <c r="AE48" i="63"/>
  <c r="F63" i="62"/>
  <c r="AR63" i="62"/>
  <c r="AI48" i="63"/>
  <c r="N63" i="62"/>
  <c r="AS63" i="62"/>
  <c r="AH41" i="63"/>
  <c r="R41" i="63"/>
  <c r="AQ41" i="63"/>
  <c r="K41" i="63"/>
  <c r="AP41" i="63"/>
  <c r="U41" i="63"/>
  <c r="T41" i="63"/>
  <c r="S41" i="63"/>
  <c r="J41" i="63"/>
  <c r="AO41" i="63"/>
  <c r="AR48" i="63"/>
  <c r="AQ63" i="63"/>
  <c r="AA63" i="63"/>
  <c r="M63" i="63"/>
  <c r="W63" i="63"/>
  <c r="V63" i="63"/>
  <c r="AK63" i="63"/>
  <c r="U63" i="63"/>
  <c r="G63" i="63"/>
  <c r="AJ63" i="63"/>
  <c r="E63" i="63"/>
  <c r="AP63" i="63"/>
  <c r="Z63" i="63"/>
  <c r="L63" i="63"/>
  <c r="AO63" i="63"/>
  <c r="Y63" i="63"/>
  <c r="K63" i="63"/>
  <c r="AN63" i="63"/>
  <c r="X63" i="63"/>
  <c r="J63" i="63"/>
  <c r="AM63" i="63"/>
  <c r="I63" i="63"/>
  <c r="AL63" i="63"/>
  <c r="H63" i="63"/>
  <c r="T63" i="63"/>
  <c r="AE52" i="61"/>
  <c r="AA52" i="61"/>
  <c r="P52" i="61"/>
  <c r="U52" i="61"/>
  <c r="T52" i="61"/>
  <c r="Q52" i="61"/>
  <c r="O52" i="61"/>
  <c r="N52" i="61"/>
  <c r="AF41" i="62"/>
  <c r="AO41" i="62"/>
  <c r="Y41" i="62"/>
  <c r="R41" i="62"/>
  <c r="Q41" i="62"/>
  <c r="AN41" i="62"/>
  <c r="X41" i="62"/>
  <c r="P41" i="62"/>
  <c r="O63" i="62"/>
  <c r="AT63" i="62"/>
  <c r="H41" i="63"/>
  <c r="AU55" i="63"/>
  <c r="Q55" i="63"/>
  <c r="AO55" i="63"/>
  <c r="AN55" i="63"/>
  <c r="AI55" i="63"/>
  <c r="O55" i="63"/>
  <c r="N63" i="63"/>
  <c r="AD52" i="61"/>
  <c r="O41" i="62"/>
  <c r="Q63" i="62"/>
  <c r="AU63" i="62"/>
  <c r="I41" i="63"/>
  <c r="O63" i="63"/>
  <c r="AP41" i="62"/>
  <c r="R63" i="62"/>
  <c r="AI41" i="63"/>
  <c r="AK53" i="63"/>
  <c r="AR53" i="63"/>
  <c r="U53" i="63"/>
  <c r="AN53" i="63"/>
  <c r="M53" i="63"/>
  <c r="AJ53" i="63"/>
  <c r="AH53" i="63"/>
  <c r="I53" i="63"/>
  <c r="AQ53" i="63"/>
  <c r="N53" i="63"/>
  <c r="AL53" i="63"/>
  <c r="L53" i="63"/>
  <c r="K53" i="63"/>
  <c r="J53" i="63"/>
  <c r="AE53" i="63"/>
  <c r="AD53" i="63"/>
  <c r="H53" i="63"/>
  <c r="P63" i="63"/>
  <c r="AQ41" i="62"/>
  <c r="S63" i="62"/>
  <c r="AJ41" i="63"/>
  <c r="F53" i="63"/>
  <c r="S63" i="63"/>
  <c r="AM50" i="59"/>
  <c r="AP59" i="61"/>
  <c r="AR41" i="62"/>
  <c r="AA63" i="62"/>
  <c r="AK41" i="63"/>
  <c r="U46" i="63"/>
  <c r="AU46" i="63"/>
  <c r="Q46" i="63"/>
  <c r="G53" i="63"/>
  <c r="AD63" i="63"/>
  <c r="AS41" i="62"/>
  <c r="AE63" i="62"/>
  <c r="AL41" i="63"/>
  <c r="N46" i="63"/>
  <c r="W53" i="63"/>
  <c r="AI60" i="63"/>
  <c r="AE63" i="63"/>
  <c r="AF63" i="62"/>
  <c r="X53" i="63"/>
  <c r="AH63" i="63"/>
  <c r="AG63" i="62"/>
  <c r="Y53" i="63"/>
  <c r="AI63" i="63"/>
  <c r="N61" i="63"/>
  <c r="O61" i="63"/>
  <c r="AG63" i="61"/>
  <c r="F44" i="62"/>
  <c r="Z44" i="62"/>
  <c r="I49" i="62"/>
  <c r="L59" i="62"/>
  <c r="AH47" i="63"/>
  <c r="AP51" i="63"/>
  <c r="X53" i="62"/>
  <c r="M59" i="62"/>
  <c r="Q61" i="63"/>
  <c r="AI63" i="61"/>
  <c r="H44" i="62"/>
  <c r="AH44" i="62"/>
  <c r="I46" i="62"/>
  <c r="K49" i="62"/>
  <c r="N58" i="62"/>
  <c r="N59" i="62"/>
  <c r="M61" i="62"/>
  <c r="E43" i="63"/>
  <c r="Z43" i="63"/>
  <c r="AT44" i="63"/>
  <c r="AM47" i="63"/>
  <c r="I51" i="63"/>
  <c r="R61" i="63"/>
  <c r="AK45" i="62"/>
  <c r="F49" i="62"/>
  <c r="X44" i="62"/>
  <c r="AL45" i="62"/>
  <c r="H49" i="62"/>
  <c r="X52" i="62"/>
  <c r="AO59" i="62"/>
  <c r="AN45" i="62"/>
  <c r="P61" i="63"/>
  <c r="AH63" i="61"/>
  <c r="G44" i="62"/>
  <c r="AG44" i="62"/>
  <c r="J49" i="62"/>
  <c r="X43" i="63"/>
  <c r="AU43" i="63"/>
  <c r="AJ47" i="63"/>
  <c r="H51" i="63"/>
  <c r="AU51" i="63"/>
  <c r="Y50" i="61"/>
  <c r="I44" i="62"/>
  <c r="AI44" i="62"/>
  <c r="U46" i="62"/>
  <c r="R49" i="62"/>
  <c r="U58" i="62"/>
  <c r="O59" i="62"/>
  <c r="N61" i="62"/>
  <c r="AQ62" i="62"/>
  <c r="G43" i="63"/>
  <c r="AA43" i="63"/>
  <c r="I44" i="63"/>
  <c r="AU44" i="63"/>
  <c r="AR47" i="63"/>
  <c r="J51" i="63"/>
  <c r="S61" i="63"/>
  <c r="AD62" i="62"/>
  <c r="AE61" i="62"/>
  <c r="U61" i="63"/>
  <c r="J61" i="62"/>
  <c r="AG61" i="62"/>
  <c r="AF61" i="63"/>
  <c r="K61" i="62"/>
  <c r="AI61" i="62"/>
  <c r="AG61" i="63"/>
  <c r="L61" i="62"/>
  <c r="AP61" i="62"/>
  <c r="AJ61" i="63"/>
  <c r="F61" i="61"/>
  <c r="AQ60" i="62"/>
  <c r="AO60" i="61"/>
  <c r="R60" i="63"/>
  <c r="S60" i="63"/>
  <c r="AP60" i="62"/>
  <c r="AM60" i="61"/>
  <c r="U60" i="63"/>
  <c r="V60" i="63"/>
  <c r="AE60" i="62"/>
  <c r="AN60" i="62"/>
  <c r="W59" i="62"/>
  <c r="E59" i="62"/>
  <c r="AQ59" i="62"/>
  <c r="Y59" i="62"/>
  <c r="G59" i="62"/>
  <c r="Z59" i="62"/>
  <c r="AS59" i="62"/>
  <c r="AP59" i="62"/>
  <c r="X59" i="62"/>
  <c r="F59" i="62"/>
  <c r="AR59" i="62"/>
  <c r="I59" i="62"/>
  <c r="AA59" i="62"/>
  <c r="AU59" i="62"/>
  <c r="K59" i="62"/>
  <c r="AD59" i="62"/>
  <c r="X58" i="62"/>
  <c r="F58" i="62"/>
  <c r="G58" i="62"/>
  <c r="H58" i="62"/>
  <c r="I58" i="62"/>
  <c r="AG58" i="62"/>
  <c r="J58" i="62"/>
  <c r="AL58" i="62"/>
  <c r="Y58" i="62"/>
  <c r="Z58" i="62"/>
  <c r="AD58" i="62"/>
  <c r="K58" i="62"/>
  <c r="AM58" i="62"/>
  <c r="L58" i="62"/>
  <c r="AN58" i="62"/>
  <c r="O56" i="63"/>
  <c r="U56" i="63"/>
  <c r="W56" i="63"/>
  <c r="AA55" i="62"/>
  <c r="AD55" i="62"/>
  <c r="AI55" i="62"/>
  <c r="J55" i="62"/>
  <c r="AJ55" i="62"/>
  <c r="G55" i="62"/>
  <c r="H55" i="62"/>
  <c r="I55" i="62"/>
  <c r="AL55" i="62"/>
  <c r="N55" i="62"/>
  <c r="AO55" i="62"/>
  <c r="X55" i="62"/>
  <c r="Z55" i="62"/>
  <c r="L55" i="62"/>
  <c r="O55" i="62"/>
  <c r="AQ55" i="62"/>
  <c r="E55" i="62"/>
  <c r="F55" i="62"/>
  <c r="AE55" i="62"/>
  <c r="T55" i="62"/>
  <c r="AR55" i="62"/>
  <c r="S53" i="63"/>
  <c r="AM53" i="63"/>
  <c r="V53" i="63"/>
  <c r="AP53" i="63"/>
  <c r="AE52" i="63"/>
  <c r="AJ52" i="61"/>
  <c r="AF52" i="63"/>
  <c r="AR52" i="63"/>
  <c r="N52" i="63"/>
  <c r="AU51" i="59"/>
  <c r="AD51" i="63"/>
  <c r="AF51" i="63"/>
  <c r="AG51" i="63"/>
  <c r="S51" i="63"/>
  <c r="AO50" i="59"/>
  <c r="AM50" i="63"/>
  <c r="R50" i="61"/>
  <c r="AN50" i="63"/>
  <c r="O50" i="61"/>
  <c r="P50" i="61"/>
  <c r="S50" i="61"/>
  <c r="T50" i="61"/>
  <c r="AJ49" i="61"/>
  <c r="AU48" i="63"/>
  <c r="M48" i="63"/>
  <c r="O48" i="63"/>
  <c r="P48" i="63"/>
  <c r="Q48" i="63"/>
  <c r="R48" i="63"/>
  <c r="AA48" i="63"/>
  <c r="V48" i="62"/>
  <c r="L48" i="63"/>
  <c r="P47" i="63"/>
  <c r="Q47" i="63"/>
  <c r="R47" i="63"/>
  <c r="V47" i="63"/>
  <c r="O47" i="63"/>
  <c r="W47" i="63"/>
  <c r="J46" i="62"/>
  <c r="AI46" i="63"/>
  <c r="AG46" i="63"/>
  <c r="R46" i="62"/>
  <c r="AQ46" i="63"/>
  <c r="S46" i="63"/>
  <c r="AR46" i="63"/>
  <c r="AS46" i="63"/>
  <c r="G46" i="63"/>
  <c r="AT46" i="63"/>
  <c r="R46" i="63"/>
  <c r="T46" i="63"/>
  <c r="R45" i="62"/>
  <c r="AH45" i="63"/>
  <c r="P45" i="62"/>
  <c r="AG45" i="63"/>
  <c r="AH45" i="62"/>
  <c r="AU45" i="63"/>
  <c r="N45" i="62"/>
  <c r="AJ45" i="62"/>
  <c r="J45" i="62"/>
  <c r="O45" i="62"/>
  <c r="AF45" i="63"/>
  <c r="L44" i="61"/>
  <c r="AH44" i="61"/>
  <c r="AI44" i="61"/>
  <c r="U44" i="62"/>
  <c r="AO44" i="62"/>
  <c r="AE44" i="63"/>
  <c r="E44" i="62"/>
  <c r="V44" i="62"/>
  <c r="AT44" i="62"/>
  <c r="AG44" i="63"/>
  <c r="AH44" i="63"/>
  <c r="S43" i="62"/>
  <c r="T43" i="62"/>
  <c r="AT43" i="62"/>
  <c r="P43" i="63"/>
  <c r="AK43" i="63"/>
  <c r="S43" i="63"/>
  <c r="AL43" i="63"/>
  <c r="U43" i="63"/>
  <c r="AN43" i="63"/>
  <c r="Z42" i="62"/>
  <c r="AR42" i="63"/>
  <c r="AA42" i="62"/>
  <c r="AD42" i="62"/>
  <c r="AL42" i="63"/>
  <c r="Y42" i="63"/>
  <c r="X42" i="63"/>
  <c r="W42" i="63"/>
  <c r="V42" i="63"/>
  <c r="J60" i="61"/>
  <c r="G42" i="62"/>
  <c r="F53" i="62"/>
  <c r="G56" i="62"/>
  <c r="W50" i="63"/>
  <c r="U50" i="63"/>
  <c r="T50" i="63"/>
  <c r="S50" i="63"/>
  <c r="AS50" i="63"/>
  <c r="J50" i="63"/>
  <c r="AP50" i="63"/>
  <c r="I50" i="63"/>
  <c r="AT58" i="63"/>
  <c r="AD58" i="63"/>
  <c r="Z58" i="63"/>
  <c r="AA58" i="63"/>
  <c r="Y58" i="63"/>
  <c r="X58" i="63"/>
  <c r="AI42" i="62"/>
  <c r="G53" i="62"/>
  <c r="AN53" i="62"/>
  <c r="H56" i="62"/>
  <c r="AF56" i="62"/>
  <c r="I60" i="62"/>
  <c r="AR60" i="62"/>
  <c r="AO62" i="62"/>
  <c r="O62" i="62"/>
  <c r="AF62" i="62"/>
  <c r="AN62" i="62"/>
  <c r="N62" i="62"/>
  <c r="J62" i="62"/>
  <c r="AG62" i="62"/>
  <c r="L62" i="62"/>
  <c r="AE62" i="62"/>
  <c r="I62" i="62"/>
  <c r="AS62" i="62"/>
  <c r="K42" i="63"/>
  <c r="E50" i="63"/>
  <c r="AN59" i="63"/>
  <c r="U59" i="63"/>
  <c r="AM59" i="63"/>
  <c r="T59" i="63"/>
  <c r="AK59" i="63"/>
  <c r="O59" i="63"/>
  <c r="AL59" i="63"/>
  <c r="P59" i="63"/>
  <c r="AI59" i="63"/>
  <c r="N59" i="63"/>
  <c r="AE59" i="63"/>
  <c r="M59" i="63"/>
  <c r="AO59" i="63"/>
  <c r="AT55" i="59"/>
  <c r="AH42" i="61"/>
  <c r="AU54" i="61"/>
  <c r="M60" i="61"/>
  <c r="L42" i="62"/>
  <c r="AJ42" i="62"/>
  <c r="S45" i="62"/>
  <c r="AR45" i="62"/>
  <c r="R47" i="62"/>
  <c r="AM50" i="62"/>
  <c r="H53" i="62"/>
  <c r="AP53" i="62"/>
  <c r="J56" i="62"/>
  <c r="AG56" i="62"/>
  <c r="N60" i="62"/>
  <c r="AS60" i="62"/>
  <c r="H62" i="62"/>
  <c r="AT62" i="62"/>
  <c r="L42" i="63"/>
  <c r="J45" i="63"/>
  <c r="AP46" i="63"/>
  <c r="AO46" i="63"/>
  <c r="Z46" i="63"/>
  <c r="M46" i="63"/>
  <c r="AN46" i="63"/>
  <c r="Y46" i="63"/>
  <c r="L46" i="63"/>
  <c r="W46" i="63"/>
  <c r="J46" i="63"/>
  <c r="AM46" i="63"/>
  <c r="X46" i="63"/>
  <c r="K46" i="63"/>
  <c r="AL46" i="63"/>
  <c r="AK46" i="63"/>
  <c r="V46" i="63"/>
  <c r="I46" i="63"/>
  <c r="AA46" i="63"/>
  <c r="F50" i="63"/>
  <c r="AG52" i="63"/>
  <c r="AG55" i="63"/>
  <c r="AF55" i="63"/>
  <c r="S55" i="63"/>
  <c r="AE55" i="63"/>
  <c r="R55" i="63"/>
  <c r="AD56" i="63"/>
  <c r="L56" i="63"/>
  <c r="I56" i="63"/>
  <c r="AA56" i="63"/>
  <c r="K56" i="63"/>
  <c r="AQ56" i="63"/>
  <c r="Y56" i="63"/>
  <c r="AS56" i="63"/>
  <c r="Z56" i="63"/>
  <c r="J56" i="63"/>
  <c r="AP56" i="63"/>
  <c r="X56" i="63"/>
  <c r="H56" i="63"/>
  <c r="AM56" i="63"/>
  <c r="G59" i="63"/>
  <c r="AP59" i="63"/>
  <c r="AJ60" i="63"/>
  <c r="N60" i="61"/>
  <c r="M42" i="62"/>
  <c r="AK42" i="62"/>
  <c r="T45" i="62"/>
  <c r="AT45" i="62"/>
  <c r="T47" i="62"/>
  <c r="U49" i="62"/>
  <c r="AN50" i="62"/>
  <c r="J53" i="62"/>
  <c r="AQ53" i="62"/>
  <c r="N56" i="62"/>
  <c r="AH56" i="62"/>
  <c r="P60" i="62"/>
  <c r="AT60" i="62"/>
  <c r="P62" i="62"/>
  <c r="AU62" i="62"/>
  <c r="M42" i="63"/>
  <c r="L45" i="63"/>
  <c r="E46" i="63"/>
  <c r="AE46" i="63"/>
  <c r="AF47" i="63"/>
  <c r="K47" i="63"/>
  <c r="Y47" i="63"/>
  <c r="AE47" i="63"/>
  <c r="J47" i="63"/>
  <c r="AT47" i="63"/>
  <c r="G47" i="63"/>
  <c r="AD47" i="63"/>
  <c r="H47" i="63"/>
  <c r="AS47" i="63"/>
  <c r="X47" i="63"/>
  <c r="F47" i="63"/>
  <c r="AN47" i="63"/>
  <c r="G50" i="63"/>
  <c r="AH52" i="63"/>
  <c r="L55" i="63"/>
  <c r="M56" i="63"/>
  <c r="AN56" i="63"/>
  <c r="H59" i="63"/>
  <c r="AQ59" i="63"/>
  <c r="AK60" i="63"/>
  <c r="AG44" i="61"/>
  <c r="AE44" i="61"/>
  <c r="X44" i="61"/>
  <c r="M44" i="61"/>
  <c r="N42" i="62"/>
  <c r="AM42" i="62"/>
  <c r="AH46" i="62"/>
  <c r="AL46" i="62"/>
  <c r="AK46" i="62"/>
  <c r="V46" i="62"/>
  <c r="T46" i="62"/>
  <c r="AO50" i="62"/>
  <c r="S53" i="62"/>
  <c r="O56" i="62"/>
  <c r="AI56" i="62"/>
  <c r="Q60" i="62"/>
  <c r="Q62" i="62"/>
  <c r="R42" i="63"/>
  <c r="M45" i="63"/>
  <c r="F46" i="63"/>
  <c r="AF46" i="63"/>
  <c r="L47" i="63"/>
  <c r="AQ47" i="63"/>
  <c r="H50" i="63"/>
  <c r="AL52" i="63"/>
  <c r="N55" i="63"/>
  <c r="N56" i="63"/>
  <c r="AO56" i="63"/>
  <c r="I59" i="63"/>
  <c r="AR59" i="63"/>
  <c r="U56" i="62"/>
  <c r="AE49" i="63"/>
  <c r="W49" i="63"/>
  <c r="U49" i="63"/>
  <c r="V49" i="63"/>
  <c r="Q49" i="63"/>
  <c r="AU53" i="62"/>
  <c r="AK53" i="62"/>
  <c r="N53" i="62"/>
  <c r="AJ53" i="62"/>
  <c r="L53" i="62"/>
  <c r="AI53" i="62"/>
  <c r="K53" i="62"/>
  <c r="AD53" i="62"/>
  <c r="I53" i="62"/>
  <c r="Z53" i="62"/>
  <c r="E56" i="62"/>
  <c r="AT56" i="62"/>
  <c r="AF49" i="63"/>
  <c r="AS60" i="61"/>
  <c r="AH60" i="61"/>
  <c r="Y60" i="61"/>
  <c r="U60" i="61"/>
  <c r="S60" i="61"/>
  <c r="E53" i="62"/>
  <c r="AE53" i="62"/>
  <c r="AA56" i="62"/>
  <c r="G60" i="61"/>
  <c r="AP61" i="61"/>
  <c r="AL61" i="61"/>
  <c r="AH42" i="62"/>
  <c r="U50" i="62"/>
  <c r="AE56" i="62"/>
  <c r="AJ60" i="62"/>
  <c r="AL60" i="62"/>
  <c r="L60" i="62"/>
  <c r="AG60" i="62"/>
  <c r="K60" i="62"/>
  <c r="AF60" i="62"/>
  <c r="J60" i="62"/>
  <c r="AD60" i="62"/>
  <c r="H60" i="62"/>
  <c r="Z42" i="61"/>
  <c r="AO53" i="61"/>
  <c r="AA53" i="61"/>
  <c r="Z53" i="61"/>
  <c r="AM47" i="62"/>
  <c r="AO47" i="62"/>
  <c r="W47" i="62"/>
  <c r="AE59" i="61"/>
  <c r="AO59" i="61"/>
  <c r="AN59" i="61"/>
  <c r="AM59" i="61"/>
  <c r="Q59" i="61"/>
  <c r="T60" i="61"/>
  <c r="O42" i="62"/>
  <c r="AQ42" i="62"/>
  <c r="AQ45" i="62"/>
  <c r="AA45" i="62"/>
  <c r="M45" i="62"/>
  <c r="AP45" i="62"/>
  <c r="Z45" i="62"/>
  <c r="L45" i="62"/>
  <c r="AO45" i="62"/>
  <c r="Y45" i="62"/>
  <c r="K45" i="62"/>
  <c r="AM45" i="62"/>
  <c r="W45" i="62"/>
  <c r="H45" i="62"/>
  <c r="X45" i="62"/>
  <c r="X47" i="62"/>
  <c r="T53" i="62"/>
  <c r="AS53" i="62"/>
  <c r="Q56" i="62"/>
  <c r="AJ56" i="62"/>
  <c r="V60" i="62"/>
  <c r="V62" i="62"/>
  <c r="AM42" i="63"/>
  <c r="Z45" i="63"/>
  <c r="V50" i="63"/>
  <c r="K59" i="63"/>
  <c r="AH60" i="63"/>
  <c r="K60" i="63"/>
  <c r="AG60" i="63"/>
  <c r="J60" i="63"/>
  <c r="Y60" i="63"/>
  <c r="H60" i="63"/>
  <c r="AF60" i="63"/>
  <c r="I60" i="63"/>
  <c r="AU60" i="63"/>
  <c r="X60" i="63"/>
  <c r="G60" i="63"/>
  <c r="AT60" i="63"/>
  <c r="W60" i="63"/>
  <c r="F60" i="63"/>
  <c r="AN60" i="63"/>
  <c r="AD56" i="61"/>
  <c r="M59" i="61"/>
  <c r="AI60" i="61"/>
  <c r="S42" i="62"/>
  <c r="E45" i="62"/>
  <c r="AD45" i="62"/>
  <c r="AL51" i="62"/>
  <c r="AP51" i="62"/>
  <c r="W51" i="62"/>
  <c r="V51" i="62"/>
  <c r="T51" i="62"/>
  <c r="U53" i="62"/>
  <c r="AP54" i="62"/>
  <c r="W54" i="62"/>
  <c r="R56" i="62"/>
  <c r="W60" i="62"/>
  <c r="X62" i="62"/>
  <c r="AN42" i="63"/>
  <c r="AA45" i="63"/>
  <c r="H46" i="63"/>
  <c r="AH46" i="63"/>
  <c r="Z50" i="63"/>
  <c r="P55" i="63"/>
  <c r="P56" i="63"/>
  <c r="L59" i="63"/>
  <c r="E60" i="63"/>
  <c r="AS60" i="63"/>
  <c r="AP56" i="62"/>
  <c r="AO56" i="62"/>
  <c r="Z56" i="62"/>
  <c r="M56" i="62"/>
  <c r="AN56" i="62"/>
  <c r="Y56" i="62"/>
  <c r="L56" i="62"/>
  <c r="AM56" i="62"/>
  <c r="X56" i="62"/>
  <c r="K56" i="62"/>
  <c r="AK56" i="62"/>
  <c r="V56" i="62"/>
  <c r="I56" i="62"/>
  <c r="W56" i="62"/>
  <c r="AS42" i="62"/>
  <c r="AP42" i="62"/>
  <c r="Y42" i="62"/>
  <c r="J42" i="62"/>
  <c r="AO42" i="62"/>
  <c r="X42" i="62"/>
  <c r="I42" i="62"/>
  <c r="AN42" i="62"/>
  <c r="W42" i="62"/>
  <c r="H42" i="62"/>
  <c r="AL42" i="62"/>
  <c r="U42" i="62"/>
  <c r="E42" i="62"/>
  <c r="AL53" i="62"/>
  <c r="AE56" i="61"/>
  <c r="N59" i="61"/>
  <c r="AJ60" i="61"/>
  <c r="T42" i="62"/>
  <c r="AE45" i="62"/>
  <c r="V53" i="62"/>
  <c r="S56" i="62"/>
  <c r="X60" i="62"/>
  <c r="Z62" i="62"/>
  <c r="AO42" i="63"/>
  <c r="AJ50" i="63"/>
  <c r="AP52" i="63"/>
  <c r="AD52" i="63"/>
  <c r="AA52" i="63"/>
  <c r="Q52" i="63"/>
  <c r="R52" i="63"/>
  <c r="AU52" i="63"/>
  <c r="AT52" i="63"/>
  <c r="P52" i="63"/>
  <c r="W59" i="63"/>
  <c r="L60" i="63"/>
  <c r="AH42" i="59"/>
  <c r="AS56" i="62"/>
  <c r="AH50" i="62"/>
  <c r="T50" i="62"/>
  <c r="S50" i="62"/>
  <c r="R50" i="62"/>
  <c r="I50" i="62"/>
  <c r="AR60" i="61"/>
  <c r="K50" i="62"/>
  <c r="F56" i="62"/>
  <c r="AU56" i="62"/>
  <c r="AJ49" i="63"/>
  <c r="J42" i="63"/>
  <c r="AS54" i="63"/>
  <c r="AD54" i="63"/>
  <c r="X54" i="63"/>
  <c r="W54" i="63"/>
  <c r="V54" i="63"/>
  <c r="U54" i="63"/>
  <c r="K60" i="61"/>
  <c r="K42" i="62"/>
  <c r="W50" i="62"/>
  <c r="AO45" i="63"/>
  <c r="AT45" i="63"/>
  <c r="R45" i="63"/>
  <c r="AS45" i="63"/>
  <c r="Q45" i="63"/>
  <c r="AQ45" i="63"/>
  <c r="O45" i="63"/>
  <c r="AR45" i="63"/>
  <c r="P45" i="63"/>
  <c r="AI45" i="63"/>
  <c r="N45" i="63"/>
  <c r="F45" i="62"/>
  <c r="AQ56" i="62"/>
  <c r="AG56" i="61"/>
  <c r="P59" i="61"/>
  <c r="AK60" i="61"/>
  <c r="V42" i="62"/>
  <c r="AJ43" i="62"/>
  <c r="AU43" i="62"/>
  <c r="AS43" i="62"/>
  <c r="G45" i="62"/>
  <c r="AG45" i="62"/>
  <c r="X49" i="62"/>
  <c r="AI49" i="62"/>
  <c r="W49" i="62"/>
  <c r="V49" i="62"/>
  <c r="T49" i="62"/>
  <c r="AN49" i="62"/>
  <c r="W53" i="62"/>
  <c r="T56" i="62"/>
  <c r="AR56" i="62"/>
  <c r="Z60" i="62"/>
  <c r="AA62" i="62"/>
  <c r="AP42" i="63"/>
  <c r="AE45" i="63"/>
  <c r="O46" i="63"/>
  <c r="AJ46" i="63"/>
  <c r="AK50" i="63"/>
  <c r="L52" i="63"/>
  <c r="AH55" i="63"/>
  <c r="V56" i="63"/>
  <c r="X59" i="63"/>
  <c r="Q60" i="63"/>
  <c r="AR50" i="61"/>
  <c r="AR52" i="61"/>
  <c r="L44" i="62"/>
  <c r="Y44" i="62"/>
  <c r="AN44" i="62"/>
  <c r="S55" i="62"/>
  <c r="AN55" i="62"/>
  <c r="M58" i="62"/>
  <c r="AF58" i="62"/>
  <c r="AU58" i="62"/>
  <c r="P59" i="62"/>
  <c r="AG59" i="62"/>
  <c r="Q61" i="62"/>
  <c r="AK61" i="62"/>
  <c r="R43" i="63"/>
  <c r="AH43" i="63"/>
  <c r="S44" i="63"/>
  <c r="AL44" i="63"/>
  <c r="AD48" i="63"/>
  <c r="R51" i="63"/>
  <c r="AO51" i="63"/>
  <c r="P53" i="63"/>
  <c r="AI53" i="63"/>
  <c r="AI61" i="63"/>
  <c r="AL61" i="62"/>
  <c r="N44" i="62"/>
  <c r="AA44" i="62"/>
  <c r="AQ44" i="62"/>
  <c r="U55" i="62"/>
  <c r="AP55" i="62"/>
  <c r="P58" i="62"/>
  <c r="AH58" i="62"/>
  <c r="S59" i="62"/>
  <c r="E61" i="62"/>
  <c r="V61" i="62"/>
  <c r="AM61" i="62"/>
  <c r="F43" i="63"/>
  <c r="T43" i="63"/>
  <c r="E44" i="63"/>
  <c r="V44" i="63"/>
  <c r="AP44" i="63"/>
  <c r="AF48" i="63"/>
  <c r="V51" i="63"/>
  <c r="AR51" i="63"/>
  <c r="T53" i="63"/>
  <c r="U61" i="62"/>
  <c r="U44" i="63"/>
  <c r="AM44" i="63"/>
  <c r="O44" i="62"/>
  <c r="AE44" i="62"/>
  <c r="AR44" i="62"/>
  <c r="R58" i="62"/>
  <c r="AJ58" i="62"/>
  <c r="G61" i="62"/>
  <c r="W61" i="62"/>
  <c r="AN61" i="62"/>
  <c r="G44" i="63"/>
  <c r="W44" i="63"/>
  <c r="AQ44" i="63"/>
  <c r="AG48" i="63"/>
  <c r="W51" i="63"/>
  <c r="AS51" i="63"/>
  <c r="Q44" i="62"/>
  <c r="AF44" i="62"/>
  <c r="AS44" i="62"/>
  <c r="T58" i="62"/>
  <c r="I61" i="62"/>
  <c r="X61" i="62"/>
  <c r="H44" i="63"/>
  <c r="X44" i="63"/>
  <c r="K48" i="63"/>
  <c r="G51" i="63"/>
  <c r="Z51" i="63"/>
  <c r="AM62" i="63"/>
  <c r="Y62" i="63"/>
  <c r="M62" i="63"/>
  <c r="AJ62" i="63"/>
  <c r="U62" i="63"/>
  <c r="H62" i="63"/>
  <c r="AI62" i="63"/>
  <c r="T62" i="63"/>
  <c r="G62" i="63"/>
  <c r="AU62" i="63"/>
  <c r="AH62" i="63"/>
  <c r="S62" i="63"/>
  <c r="F62" i="63"/>
  <c r="AO62" i="63"/>
  <c r="V62" i="63"/>
  <c r="AL62" i="63"/>
  <c r="Q62" i="63"/>
  <c r="AN62" i="63"/>
  <c r="R62" i="63"/>
  <c r="AK62" i="63"/>
  <c r="P62" i="63"/>
  <c r="AG62" i="63"/>
  <c r="O62" i="63"/>
  <c r="AF62" i="63"/>
  <c r="J62" i="63"/>
  <c r="AF58" i="63"/>
  <c r="K62" i="63"/>
  <c r="AR62" i="63"/>
  <c r="E54" i="63"/>
  <c r="F58" i="63"/>
  <c r="AO58" i="63"/>
  <c r="L62" i="63"/>
  <c r="AS49" i="63"/>
  <c r="AG49" i="63"/>
  <c r="S49" i="63"/>
  <c r="G49" i="63"/>
  <c r="AI49" i="63"/>
  <c r="T49" i="63"/>
  <c r="F49" i="63"/>
  <c r="AU49" i="63"/>
  <c r="AH49" i="63"/>
  <c r="R49" i="63"/>
  <c r="E49" i="63"/>
  <c r="AT49" i="63"/>
  <c r="AD49" i="63"/>
  <c r="M49" i="63"/>
  <c r="AP49" i="63"/>
  <c r="J49" i="63"/>
  <c r="AO49" i="63"/>
  <c r="I49" i="63"/>
  <c r="AR49" i="63"/>
  <c r="AA49" i="63"/>
  <c r="L49" i="63"/>
  <c r="AQ49" i="63"/>
  <c r="Z49" i="63"/>
  <c r="K49" i="63"/>
  <c r="Y49" i="63"/>
  <c r="X49" i="63"/>
  <c r="F54" i="63"/>
  <c r="AM54" i="63"/>
  <c r="G58" i="63"/>
  <c r="AP58" i="63"/>
  <c r="N62" i="63"/>
  <c r="AT62" i="63"/>
  <c r="AN41" i="63"/>
  <c r="Z41" i="63"/>
  <c r="N41" i="63"/>
  <c r="AM41" i="63"/>
  <c r="Y41" i="63"/>
  <c r="M41" i="63"/>
  <c r="AU41" i="63"/>
  <c r="AG41" i="63"/>
  <c r="Q41" i="63"/>
  <c r="C41" i="63"/>
  <c r="AT41" i="63"/>
  <c r="AF41" i="63"/>
  <c r="P41" i="63"/>
  <c r="AS41" i="63"/>
  <c r="AE41" i="63"/>
  <c r="O41" i="63"/>
  <c r="AR41" i="63"/>
  <c r="AD41" i="63"/>
  <c r="L41" i="63"/>
  <c r="V41" i="63"/>
  <c r="H49" i="63"/>
  <c r="K58" i="63"/>
  <c r="W62" i="63"/>
  <c r="AT42" i="63"/>
  <c r="AH42" i="63"/>
  <c r="T42" i="63"/>
  <c r="H42" i="63"/>
  <c r="AJ42" i="63"/>
  <c r="U42" i="63"/>
  <c r="G42" i="63"/>
  <c r="AI42" i="63"/>
  <c r="S42" i="63"/>
  <c r="F42" i="63"/>
  <c r="AK42" i="63"/>
  <c r="Q42" i="63"/>
  <c r="N42" i="63"/>
  <c r="AG42" i="63"/>
  <c r="P42" i="63"/>
  <c r="AF42" i="63"/>
  <c r="O42" i="63"/>
  <c r="AU42" i="63"/>
  <c r="AE42" i="63"/>
  <c r="AS42" i="63"/>
  <c r="AM49" i="63"/>
  <c r="I54" i="63"/>
  <c r="AR54" i="63"/>
  <c r="AS58" i="63"/>
  <c r="X62" i="63"/>
  <c r="AK64" i="63"/>
  <c r="W64" i="63"/>
  <c r="K64" i="63"/>
  <c r="AP64" i="63"/>
  <c r="AA64" i="63"/>
  <c r="N64" i="63"/>
  <c r="AO64" i="63"/>
  <c r="Z64" i="63"/>
  <c r="M64" i="63"/>
  <c r="AN64" i="63"/>
  <c r="Y64" i="63"/>
  <c r="L64" i="63"/>
  <c r="AU64" i="63"/>
  <c r="AE64" i="63"/>
  <c r="I64" i="63"/>
  <c r="AS64" i="63"/>
  <c r="X64" i="63"/>
  <c r="G64" i="63"/>
  <c r="V64" i="63"/>
  <c r="E64" i="63"/>
  <c r="AT64" i="63"/>
  <c r="AD64" i="63"/>
  <c r="H64" i="63"/>
  <c r="AR64" i="63"/>
  <c r="F64" i="63"/>
  <c r="AQ64" i="63"/>
  <c r="U64" i="63"/>
  <c r="AJ64" i="63"/>
  <c r="F41" i="63"/>
  <c r="X41" i="63"/>
  <c r="E42" i="63"/>
  <c r="AA42" i="63"/>
  <c r="O49" i="63"/>
  <c r="AN49" i="63"/>
  <c r="J54" i="63"/>
  <c r="M58" i="63"/>
  <c r="AT61" i="63"/>
  <c r="AH61" i="63"/>
  <c r="T61" i="63"/>
  <c r="H61" i="63"/>
  <c r="AN61" i="63"/>
  <c r="Y61" i="63"/>
  <c r="L61" i="63"/>
  <c r="AM61" i="63"/>
  <c r="X61" i="63"/>
  <c r="K61" i="63"/>
  <c r="AL61" i="63"/>
  <c r="W61" i="63"/>
  <c r="J61" i="63"/>
  <c r="AE61" i="63"/>
  <c r="M61" i="63"/>
  <c r="AS61" i="63"/>
  <c r="AA61" i="63"/>
  <c r="G61" i="63"/>
  <c r="AR61" i="63"/>
  <c r="AQ61" i="63"/>
  <c r="V61" i="63"/>
  <c r="E61" i="63"/>
  <c r="AU61" i="63"/>
  <c r="AD61" i="63"/>
  <c r="I61" i="63"/>
  <c r="Z61" i="63"/>
  <c r="F61" i="63"/>
  <c r="AK61" i="63"/>
  <c r="Z62" i="63"/>
  <c r="J64" i="63"/>
  <c r="AL64" i="63"/>
  <c r="AE62" i="63"/>
  <c r="E62" i="63"/>
  <c r="I62" i="63"/>
  <c r="AP62" i="63"/>
  <c r="AQ62" i="63"/>
  <c r="AT54" i="63"/>
  <c r="AH54" i="63"/>
  <c r="T54" i="63"/>
  <c r="H54" i="63"/>
  <c r="AP54" i="63"/>
  <c r="AA54" i="63"/>
  <c r="N54" i="63"/>
  <c r="AO54" i="63"/>
  <c r="Z54" i="63"/>
  <c r="M54" i="63"/>
  <c r="AN54" i="63"/>
  <c r="Y54" i="63"/>
  <c r="L54" i="63"/>
  <c r="AK54" i="63"/>
  <c r="R54" i="63"/>
  <c r="O54" i="63"/>
  <c r="AF54" i="63"/>
  <c r="AJ54" i="63"/>
  <c r="Q54" i="63"/>
  <c r="AI54" i="63"/>
  <c r="P54" i="63"/>
  <c r="AG54" i="63"/>
  <c r="K54" i="63"/>
  <c r="AE54" i="63"/>
  <c r="AQ58" i="63"/>
  <c r="AE58" i="63"/>
  <c r="Q58" i="63"/>
  <c r="E58" i="63"/>
  <c r="AL58" i="63"/>
  <c r="W58" i="63"/>
  <c r="J58" i="63"/>
  <c r="AK58" i="63"/>
  <c r="V58" i="63"/>
  <c r="I58" i="63"/>
  <c r="AJ58" i="63"/>
  <c r="U58" i="63"/>
  <c r="H58" i="63"/>
  <c r="AN58" i="63"/>
  <c r="S58" i="63"/>
  <c r="P58" i="63"/>
  <c r="AH58" i="63"/>
  <c r="AG58" i="63"/>
  <c r="N58" i="63"/>
  <c r="AM58" i="63"/>
  <c r="R58" i="63"/>
  <c r="AI58" i="63"/>
  <c r="O58" i="63"/>
  <c r="AL54" i="63"/>
  <c r="AS62" i="63"/>
  <c r="AK49" i="63"/>
  <c r="AL49" i="63"/>
  <c r="G54" i="63"/>
  <c r="AQ54" i="63"/>
  <c r="AR58" i="63"/>
  <c r="E41" i="63"/>
  <c r="W41" i="63"/>
  <c r="Z42" i="63"/>
  <c r="N49" i="63"/>
  <c r="L58" i="63"/>
  <c r="G41" i="63"/>
  <c r="AA41" i="63"/>
  <c r="I42" i="63"/>
  <c r="AD42" i="63"/>
  <c r="P49" i="63"/>
  <c r="AL50" i="63"/>
  <c r="X50" i="63"/>
  <c r="L50" i="63"/>
  <c r="AR50" i="63"/>
  <c r="AE50" i="63"/>
  <c r="P50" i="63"/>
  <c r="AQ50" i="63"/>
  <c r="AD50" i="63"/>
  <c r="O50" i="63"/>
  <c r="AI50" i="63"/>
  <c r="R50" i="63"/>
  <c r="AU50" i="63"/>
  <c r="M50" i="63"/>
  <c r="AA50" i="63"/>
  <c r="AH50" i="63"/>
  <c r="Q50" i="63"/>
  <c r="AG50" i="63"/>
  <c r="N50" i="63"/>
  <c r="AF50" i="63"/>
  <c r="AT50" i="63"/>
  <c r="K50" i="63"/>
  <c r="Y50" i="63"/>
  <c r="S54" i="63"/>
  <c r="AU54" i="63"/>
  <c r="T58" i="63"/>
  <c r="AU58" i="63"/>
  <c r="AA62" i="63"/>
  <c r="O64" i="63"/>
  <c r="AM64" i="63"/>
  <c r="AN48" i="63"/>
  <c r="Z48" i="63"/>
  <c r="N48" i="63"/>
  <c r="AL48" i="63"/>
  <c r="W48" i="63"/>
  <c r="J48" i="63"/>
  <c r="AK48" i="63"/>
  <c r="V48" i="63"/>
  <c r="I48" i="63"/>
  <c r="AJ48" i="63"/>
  <c r="S52" i="63"/>
  <c r="AM52" i="63"/>
  <c r="AM55" i="63"/>
  <c r="Y55" i="63"/>
  <c r="M55" i="63"/>
  <c r="AL55" i="63"/>
  <c r="W55" i="63"/>
  <c r="J55" i="63"/>
  <c r="AK55" i="63"/>
  <c r="V55" i="63"/>
  <c r="I55" i="63"/>
  <c r="AJ55" i="63"/>
  <c r="U55" i="63"/>
  <c r="H55" i="63"/>
  <c r="E52" i="63"/>
  <c r="W52" i="63"/>
  <c r="AN52" i="63"/>
  <c r="E55" i="63"/>
  <c r="X55" i="63"/>
  <c r="AQ55" i="63"/>
  <c r="E45" i="63"/>
  <c r="T45" i="63"/>
  <c r="AN45" i="63"/>
  <c r="F48" i="63"/>
  <c r="U48" i="63"/>
  <c r="AO48" i="63"/>
  <c r="Z55" i="63"/>
  <c r="AR55" i="63"/>
  <c r="F45" i="63"/>
  <c r="X45" i="63"/>
  <c r="AU47" i="63"/>
  <c r="AI47" i="63"/>
  <c r="U47" i="63"/>
  <c r="I47" i="63"/>
  <c r="AP47" i="63"/>
  <c r="AA47" i="63"/>
  <c r="N47" i="63"/>
  <c r="AO47" i="63"/>
  <c r="Z47" i="63"/>
  <c r="M47" i="63"/>
  <c r="S47" i="63"/>
  <c r="AK47" i="63"/>
  <c r="G48" i="63"/>
  <c r="X48" i="63"/>
  <c r="AP48" i="63"/>
  <c r="AQ51" i="63"/>
  <c r="AE51" i="63"/>
  <c r="Q51" i="63"/>
  <c r="E51" i="63"/>
  <c r="AN51" i="63"/>
  <c r="Y51" i="63"/>
  <c r="L51" i="63"/>
  <c r="AM51" i="63"/>
  <c r="X51" i="63"/>
  <c r="K51" i="63"/>
  <c r="T51" i="63"/>
  <c r="AK51" i="63"/>
  <c r="I52" i="63"/>
  <c r="Y52" i="63"/>
  <c r="G55" i="63"/>
  <c r="AA55" i="63"/>
  <c r="AS55" i="63"/>
  <c r="S48" i="63"/>
  <c r="AJ52" i="63"/>
  <c r="V52" i="63"/>
  <c r="J52" i="63"/>
  <c r="AK52" i="63"/>
  <c r="U52" i="63"/>
  <c r="H52" i="63"/>
  <c r="AI52" i="63"/>
  <c r="T52" i="63"/>
  <c r="G52" i="63"/>
  <c r="T55" i="63"/>
  <c r="AP55" i="63"/>
  <c r="AK45" i="63"/>
  <c r="W45" i="63"/>
  <c r="K45" i="63"/>
  <c r="AL45" i="63"/>
  <c r="V45" i="63"/>
  <c r="I45" i="63"/>
  <c r="AJ45" i="63"/>
  <c r="U45" i="63"/>
  <c r="H45" i="63"/>
  <c r="S45" i="63"/>
  <c r="AM45" i="63"/>
  <c r="E48" i="63"/>
  <c r="T48" i="63"/>
  <c r="AM48" i="63"/>
  <c r="F52" i="63"/>
  <c r="X52" i="63"/>
  <c r="AO52" i="63"/>
  <c r="F55" i="63"/>
  <c r="AR44" i="63"/>
  <c r="AF44" i="63"/>
  <c r="R44" i="63"/>
  <c r="F44" i="63"/>
  <c r="AO44" i="63"/>
  <c r="Z44" i="63"/>
  <c r="M44" i="63"/>
  <c r="AN44" i="63"/>
  <c r="Y44" i="63"/>
  <c r="L44" i="63"/>
  <c r="T44" i="63"/>
  <c r="AK44" i="63"/>
  <c r="G45" i="63"/>
  <c r="Y45" i="63"/>
  <c r="AP45" i="63"/>
  <c r="E47" i="63"/>
  <c r="T47" i="63"/>
  <c r="AL47" i="63"/>
  <c r="H48" i="63"/>
  <c r="Y48" i="63"/>
  <c r="AQ48" i="63"/>
  <c r="F51" i="63"/>
  <c r="U51" i="63"/>
  <c r="AL51" i="63"/>
  <c r="K52" i="63"/>
  <c r="Z52" i="63"/>
  <c r="AQ52" i="63"/>
  <c r="K55" i="63"/>
  <c r="AD55" i="63"/>
  <c r="AT55" i="63"/>
  <c r="AO60" i="63"/>
  <c r="AA60" i="63"/>
  <c r="O60" i="63"/>
  <c r="AR60" i="63"/>
  <c r="AE60" i="63"/>
  <c r="P60" i="63"/>
  <c r="AQ60" i="63"/>
  <c r="AD60" i="63"/>
  <c r="N60" i="63"/>
  <c r="AP60" i="63"/>
  <c r="Z60" i="63"/>
  <c r="M60" i="63"/>
  <c r="T60" i="63"/>
  <c r="AL60" i="63"/>
  <c r="AR56" i="63"/>
  <c r="AF56" i="63"/>
  <c r="R56" i="63"/>
  <c r="F56" i="63"/>
  <c r="Q56" i="63"/>
  <c r="AG56" i="63"/>
  <c r="AT56" i="63"/>
  <c r="AJ59" i="63"/>
  <c r="V59" i="63"/>
  <c r="J59" i="63"/>
  <c r="Q59" i="63"/>
  <c r="AF59" i="63"/>
  <c r="AS59" i="63"/>
  <c r="AO53" i="63"/>
  <c r="AA53" i="63"/>
  <c r="O53" i="63"/>
  <c r="Q53" i="63"/>
  <c r="AF53" i="63"/>
  <c r="AS53" i="63"/>
  <c r="E56" i="63"/>
  <c r="S56" i="63"/>
  <c r="AH56" i="63"/>
  <c r="AU56" i="63"/>
  <c r="E59" i="63"/>
  <c r="R59" i="63"/>
  <c r="AG59" i="63"/>
  <c r="AT59" i="63"/>
  <c r="AU66" i="63"/>
  <c r="AI66" i="63"/>
  <c r="U66" i="63"/>
  <c r="I66" i="63"/>
  <c r="Q66" i="63"/>
  <c r="AF66" i="63"/>
  <c r="AS66" i="63"/>
  <c r="AM43" i="63"/>
  <c r="Y43" i="63"/>
  <c r="M43" i="63"/>
  <c r="Q43" i="63"/>
  <c r="AF43" i="63"/>
  <c r="AS43" i="63"/>
  <c r="E53" i="63"/>
  <c r="R53" i="63"/>
  <c r="AG53" i="63"/>
  <c r="AT53" i="63"/>
  <c r="G56" i="63"/>
  <c r="T56" i="63"/>
  <c r="AI56" i="63"/>
  <c r="F59" i="63"/>
  <c r="S59" i="63"/>
  <c r="AH59" i="63"/>
  <c r="AU59" i="63"/>
  <c r="AR63" i="63"/>
  <c r="AF63" i="63"/>
  <c r="R63" i="63"/>
  <c r="F63" i="63"/>
  <c r="Q63" i="63"/>
  <c r="AG63" i="63"/>
  <c r="AT63" i="63"/>
  <c r="E66" i="63"/>
  <c r="R66" i="63"/>
  <c r="AG66" i="63"/>
  <c r="AT66" i="63"/>
  <c r="P46" i="63"/>
  <c r="AD46" i="63"/>
  <c r="P65" i="63"/>
  <c r="AD65" i="63"/>
  <c r="E52" i="62"/>
  <c r="Y54" i="62"/>
  <c r="Z54" i="62"/>
  <c r="AE43" i="62"/>
  <c r="AI48" i="62"/>
  <c r="G54" i="62"/>
  <c r="Y47" i="62"/>
  <c r="AJ48" i="62"/>
  <c r="Y51" i="62"/>
  <c r="I52" i="62"/>
  <c r="I54" i="62"/>
  <c r="H64" i="62"/>
  <c r="G43" i="62"/>
  <c r="E47" i="62"/>
  <c r="E41" i="62"/>
  <c r="AA41" i="62"/>
  <c r="H43" i="62"/>
  <c r="AH43" i="62"/>
  <c r="W46" i="62"/>
  <c r="F47" i="62"/>
  <c r="AJ47" i="62"/>
  <c r="J48" i="62"/>
  <c r="AM48" i="62"/>
  <c r="Y50" i="62"/>
  <c r="H51" i="62"/>
  <c r="L52" i="62"/>
  <c r="AN52" i="62"/>
  <c r="K54" i="62"/>
  <c r="AM54" i="62"/>
  <c r="AD41" i="62"/>
  <c r="I43" i="62"/>
  <c r="R52" i="62"/>
  <c r="L54" i="62"/>
  <c r="L41" i="62"/>
  <c r="AE41" i="62"/>
  <c r="P43" i="62"/>
  <c r="F46" i="62"/>
  <c r="J47" i="62"/>
  <c r="AL47" i="62"/>
  <c r="S48" i="62"/>
  <c r="F50" i="62"/>
  <c r="J51" i="62"/>
  <c r="S52" i="62"/>
  <c r="AP52" i="62"/>
  <c r="S54" i="62"/>
  <c r="AO54" i="62"/>
  <c r="E66" i="62"/>
  <c r="AN48" i="62"/>
  <c r="Z48" i="62"/>
  <c r="N48" i="62"/>
  <c r="AL48" i="62"/>
  <c r="X48" i="62"/>
  <c r="L48" i="62"/>
  <c r="AU48" i="62"/>
  <c r="AG48" i="62"/>
  <c r="Q48" i="62"/>
  <c r="AQ48" i="62"/>
  <c r="K48" i="62"/>
  <c r="AT48" i="62"/>
  <c r="AF48" i="62"/>
  <c r="P48" i="62"/>
  <c r="AD48" i="62"/>
  <c r="AA48" i="62"/>
  <c r="AS48" i="62"/>
  <c r="AE48" i="62"/>
  <c r="O48" i="62"/>
  <c r="AR48" i="62"/>
  <c r="M48" i="62"/>
  <c r="Y52" i="62"/>
  <c r="AK64" i="62"/>
  <c r="W64" i="62"/>
  <c r="K64" i="62"/>
  <c r="AU64" i="62"/>
  <c r="AI64" i="62"/>
  <c r="U64" i="62"/>
  <c r="I64" i="62"/>
  <c r="AT64" i="62"/>
  <c r="AF64" i="62"/>
  <c r="P64" i="62"/>
  <c r="AP64" i="62"/>
  <c r="Z64" i="62"/>
  <c r="AS64" i="62"/>
  <c r="AE64" i="62"/>
  <c r="O64" i="62"/>
  <c r="AQ64" i="62"/>
  <c r="AA64" i="62"/>
  <c r="M64" i="62"/>
  <c r="L64" i="62"/>
  <c r="J64" i="62"/>
  <c r="AR64" i="62"/>
  <c r="AD64" i="62"/>
  <c r="N64" i="62"/>
  <c r="AO64" i="62"/>
  <c r="Y64" i="62"/>
  <c r="AJ64" i="62"/>
  <c r="AK43" i="62"/>
  <c r="W43" i="62"/>
  <c r="K43" i="62"/>
  <c r="AQ43" i="62"/>
  <c r="AD43" i="62"/>
  <c r="O43" i="62"/>
  <c r="AP43" i="62"/>
  <c r="AA43" i="62"/>
  <c r="N43" i="62"/>
  <c r="AN43" i="62"/>
  <c r="Y43" i="62"/>
  <c r="L43" i="62"/>
  <c r="AM43" i="62"/>
  <c r="J43" i="62"/>
  <c r="AO43" i="62"/>
  <c r="Z43" i="62"/>
  <c r="M43" i="62"/>
  <c r="X43" i="62"/>
  <c r="E43" i="62"/>
  <c r="AQ51" i="62"/>
  <c r="AE51" i="62"/>
  <c r="Q51" i="62"/>
  <c r="E51" i="62"/>
  <c r="AO51" i="62"/>
  <c r="AA51" i="62"/>
  <c r="O51" i="62"/>
  <c r="AH51" i="62"/>
  <c r="R51" i="62"/>
  <c r="M51" i="62"/>
  <c r="AR51" i="62"/>
  <c r="Z51" i="62"/>
  <c r="L51" i="62"/>
  <c r="AU51" i="62"/>
  <c r="AG51" i="62"/>
  <c r="P51" i="62"/>
  <c r="AD51" i="62"/>
  <c r="AT51" i="62"/>
  <c r="AF51" i="62"/>
  <c r="N51" i="62"/>
  <c r="AS51" i="62"/>
  <c r="G52" i="62"/>
  <c r="AJ54" i="62"/>
  <c r="G64" i="62"/>
  <c r="AN64" i="62"/>
  <c r="Z41" i="62"/>
  <c r="AH47" i="62"/>
  <c r="I48" i="62"/>
  <c r="AK48" i="62"/>
  <c r="G51" i="62"/>
  <c r="K52" i="62"/>
  <c r="AL54" i="62"/>
  <c r="AP46" i="62"/>
  <c r="AD46" i="62"/>
  <c r="P46" i="62"/>
  <c r="AN46" i="62"/>
  <c r="Z46" i="62"/>
  <c r="N46" i="62"/>
  <c r="AU46" i="62"/>
  <c r="AG46" i="62"/>
  <c r="Q46" i="62"/>
  <c r="AQ46" i="62"/>
  <c r="AT46" i="62"/>
  <c r="AF46" i="62"/>
  <c r="O46" i="62"/>
  <c r="AA46" i="62"/>
  <c r="K46" i="62"/>
  <c r="AS46" i="62"/>
  <c r="AE46" i="62"/>
  <c r="M46" i="62"/>
  <c r="AR46" i="62"/>
  <c r="L46" i="62"/>
  <c r="Y46" i="62"/>
  <c r="AL50" i="62"/>
  <c r="X50" i="62"/>
  <c r="L50" i="62"/>
  <c r="AJ50" i="62"/>
  <c r="V50" i="62"/>
  <c r="J50" i="62"/>
  <c r="AU50" i="62"/>
  <c r="AG50" i="62"/>
  <c r="Q50" i="62"/>
  <c r="AQ50" i="62"/>
  <c r="M50" i="62"/>
  <c r="AT50" i="62"/>
  <c r="AF50" i="62"/>
  <c r="P50" i="62"/>
  <c r="AD50" i="62"/>
  <c r="AA50" i="62"/>
  <c r="AS50" i="62"/>
  <c r="AE50" i="62"/>
  <c r="O50" i="62"/>
  <c r="AR50" i="62"/>
  <c r="N50" i="62"/>
  <c r="AJ51" i="62"/>
  <c r="F41" i="62"/>
  <c r="AI43" i="62"/>
  <c r="E46" i="62"/>
  <c r="X46" i="62"/>
  <c r="H47" i="62"/>
  <c r="AK47" i="62"/>
  <c r="AO48" i="62"/>
  <c r="E50" i="62"/>
  <c r="Z50" i="62"/>
  <c r="I51" i="62"/>
  <c r="AO52" i="62"/>
  <c r="AN54" i="62"/>
  <c r="S64" i="62"/>
  <c r="AU66" i="62"/>
  <c r="AI66" i="62"/>
  <c r="U66" i="62"/>
  <c r="I66" i="62"/>
  <c r="AS66" i="62"/>
  <c r="AG66" i="62"/>
  <c r="S66" i="62"/>
  <c r="G66" i="62"/>
  <c r="AT66" i="62"/>
  <c r="AE66" i="62"/>
  <c r="O66" i="62"/>
  <c r="AO66" i="62"/>
  <c r="Y66" i="62"/>
  <c r="K66" i="62"/>
  <c r="J66" i="62"/>
  <c r="AR66" i="62"/>
  <c r="AD66" i="62"/>
  <c r="N66" i="62"/>
  <c r="AP66" i="62"/>
  <c r="L66" i="62"/>
  <c r="AQ66" i="62"/>
  <c r="AA66" i="62"/>
  <c r="M66" i="62"/>
  <c r="Z66" i="62"/>
  <c r="AN66" i="62"/>
  <c r="X66" i="62"/>
  <c r="AJ66" i="62"/>
  <c r="M41" i="62"/>
  <c r="Q43" i="62"/>
  <c r="AL43" i="62"/>
  <c r="G46" i="62"/>
  <c r="AI46" i="62"/>
  <c r="K47" i="62"/>
  <c r="T48" i="62"/>
  <c r="G50" i="62"/>
  <c r="AI50" i="62"/>
  <c r="K51" i="62"/>
  <c r="AM51" i="62"/>
  <c r="U54" i="62"/>
  <c r="V64" i="62"/>
  <c r="F66" i="62"/>
  <c r="AL66" i="62"/>
  <c r="W48" i="62"/>
  <c r="AJ52" i="62"/>
  <c r="V52" i="62"/>
  <c r="J52" i="62"/>
  <c r="AT52" i="62"/>
  <c r="AH52" i="62"/>
  <c r="T52" i="62"/>
  <c r="H52" i="62"/>
  <c r="AG52" i="62"/>
  <c r="Q52" i="62"/>
  <c r="AA52" i="62"/>
  <c r="M52" i="62"/>
  <c r="AU52" i="62"/>
  <c r="AF52" i="62"/>
  <c r="P52" i="62"/>
  <c r="AD52" i="62"/>
  <c r="N52" i="62"/>
  <c r="AS52" i="62"/>
  <c r="AE52" i="62"/>
  <c r="O52" i="62"/>
  <c r="AR52" i="62"/>
  <c r="AQ52" i="62"/>
  <c r="AH64" i="62"/>
  <c r="V6" i="62"/>
  <c r="V5" i="62"/>
  <c r="E48" i="62"/>
  <c r="Y48" i="62"/>
  <c r="Z52" i="62"/>
  <c r="AT54" i="62"/>
  <c r="AH54" i="62"/>
  <c r="T54" i="62"/>
  <c r="H54" i="62"/>
  <c r="AR54" i="62"/>
  <c r="AF54" i="62"/>
  <c r="R54" i="62"/>
  <c r="F54" i="62"/>
  <c r="AI54" i="62"/>
  <c r="Q54" i="62"/>
  <c r="AS54" i="62"/>
  <c r="AQ54" i="62"/>
  <c r="M54" i="62"/>
  <c r="AG54" i="62"/>
  <c r="P54" i="62"/>
  <c r="N54" i="62"/>
  <c r="AU54" i="62"/>
  <c r="AE54" i="62"/>
  <c r="O54" i="62"/>
  <c r="AD54" i="62"/>
  <c r="AA54" i="62"/>
  <c r="E64" i="62"/>
  <c r="V43" i="62"/>
  <c r="F48" i="62"/>
  <c r="AH48" i="62"/>
  <c r="F52" i="62"/>
  <c r="AI52" i="62"/>
  <c r="E54" i="62"/>
  <c r="F64" i="62"/>
  <c r="AL64" i="62"/>
  <c r="G48" i="62"/>
  <c r="X51" i="62"/>
  <c r="AK52" i="62"/>
  <c r="AM64" i="62"/>
  <c r="F43" i="62"/>
  <c r="AF43" i="62"/>
  <c r="AU47" i="62"/>
  <c r="AI47" i="62"/>
  <c r="U47" i="62"/>
  <c r="I47" i="62"/>
  <c r="AS47" i="62"/>
  <c r="AG47" i="62"/>
  <c r="S47" i="62"/>
  <c r="G47" i="62"/>
  <c r="AF47" i="62"/>
  <c r="P47" i="62"/>
  <c r="Z47" i="62"/>
  <c r="AT47" i="62"/>
  <c r="AE47" i="62"/>
  <c r="O47" i="62"/>
  <c r="AQ47" i="62"/>
  <c r="M47" i="62"/>
  <c r="L47" i="62"/>
  <c r="AR47" i="62"/>
  <c r="AD47" i="62"/>
  <c r="N47" i="62"/>
  <c r="AA47" i="62"/>
  <c r="AP47" i="62"/>
  <c r="H48" i="62"/>
  <c r="F51" i="62"/>
  <c r="AL52" i="62"/>
  <c r="AK54" i="62"/>
  <c r="AM41" i="62"/>
  <c r="AK41" i="62"/>
  <c r="W41" i="62"/>
  <c r="K41" i="62"/>
  <c r="AU41" i="62"/>
  <c r="AJ41" i="62"/>
  <c r="V41" i="62"/>
  <c r="J41" i="62"/>
  <c r="AH41" i="62"/>
  <c r="T41" i="62"/>
  <c r="H41" i="62"/>
  <c r="AG41" i="62"/>
  <c r="S41" i="62"/>
  <c r="AI41" i="62"/>
  <c r="U41" i="62"/>
  <c r="I41" i="62"/>
  <c r="AT41" i="62"/>
  <c r="G41" i="62"/>
  <c r="AG43" i="62"/>
  <c r="AI51" i="62"/>
  <c r="AM52" i="62"/>
  <c r="J54" i="62"/>
  <c r="Q64" i="62"/>
  <c r="R64" i="62"/>
  <c r="R48" i="62"/>
  <c r="AK51" i="62"/>
  <c r="N41" i="62"/>
  <c r="AL41" i="62"/>
  <c r="R43" i="62"/>
  <c r="AR43" i="62"/>
  <c r="H46" i="62"/>
  <c r="AJ46" i="62"/>
  <c r="Q47" i="62"/>
  <c r="AN47" i="62"/>
  <c r="U48" i="62"/>
  <c r="AS49" i="62"/>
  <c r="AG49" i="62"/>
  <c r="S49" i="62"/>
  <c r="G49" i="62"/>
  <c r="AQ49" i="62"/>
  <c r="AE49" i="62"/>
  <c r="Q49" i="62"/>
  <c r="E49" i="62"/>
  <c r="AH49" i="62"/>
  <c r="P49" i="62"/>
  <c r="Z49" i="62"/>
  <c r="L49" i="62"/>
  <c r="AU49" i="62"/>
  <c r="AF49" i="62"/>
  <c r="O49" i="62"/>
  <c r="AR49" i="62"/>
  <c r="M49" i="62"/>
  <c r="AT49" i="62"/>
  <c r="AD49" i="62"/>
  <c r="N49" i="62"/>
  <c r="AA49" i="62"/>
  <c r="AP49" i="62"/>
  <c r="Y49" i="62"/>
  <c r="H50" i="62"/>
  <c r="AK50" i="62"/>
  <c r="S51" i="62"/>
  <c r="AN51" i="62"/>
  <c r="W52" i="62"/>
  <c r="V54" i="62"/>
  <c r="X64" i="62"/>
  <c r="H66" i="62"/>
  <c r="AM66" i="62"/>
  <c r="AM62" i="62"/>
  <c r="Y62" i="62"/>
  <c r="M62" i="62"/>
  <c r="AK62" i="62"/>
  <c r="W62" i="62"/>
  <c r="K62" i="62"/>
  <c r="R62" i="62"/>
  <c r="AH62" i="62"/>
  <c r="P42" i="62"/>
  <c r="AE42" i="62"/>
  <c r="AU45" i="62"/>
  <c r="AI45" i="62"/>
  <c r="U45" i="62"/>
  <c r="I45" i="62"/>
  <c r="Q45" i="62"/>
  <c r="AF45" i="62"/>
  <c r="AS45" i="62"/>
  <c r="P53" i="62"/>
  <c r="AF53" i="62"/>
  <c r="AT53" i="62"/>
  <c r="P55" i="62"/>
  <c r="AF55" i="62"/>
  <c r="AT55" i="62"/>
  <c r="AQ58" i="62"/>
  <c r="AE58" i="62"/>
  <c r="Q58" i="62"/>
  <c r="E58" i="62"/>
  <c r="AO58" i="62"/>
  <c r="AA58" i="62"/>
  <c r="O58" i="62"/>
  <c r="S58" i="62"/>
  <c r="AI58" i="62"/>
  <c r="AJ59" i="62"/>
  <c r="V59" i="62"/>
  <c r="J59" i="62"/>
  <c r="AT59" i="62"/>
  <c r="AH59" i="62"/>
  <c r="T59" i="62"/>
  <c r="H59" i="62"/>
  <c r="R59" i="62"/>
  <c r="AI59" i="62"/>
  <c r="E60" i="62"/>
  <c r="S60" i="62"/>
  <c r="AI60" i="62"/>
  <c r="AT61" i="62"/>
  <c r="AH61" i="62"/>
  <c r="T61" i="62"/>
  <c r="H61" i="62"/>
  <c r="AR61" i="62"/>
  <c r="AF61" i="62"/>
  <c r="R61" i="62"/>
  <c r="F61" i="62"/>
  <c r="S61" i="62"/>
  <c r="AJ61" i="62"/>
  <c r="E62" i="62"/>
  <c r="S62" i="62"/>
  <c r="AI62" i="62"/>
  <c r="AR42" i="62"/>
  <c r="AF42" i="62"/>
  <c r="R42" i="62"/>
  <c r="F42" i="62"/>
  <c r="Q42" i="62"/>
  <c r="AG42" i="62"/>
  <c r="AT42" i="62"/>
  <c r="Q53" i="62"/>
  <c r="AG53" i="62"/>
  <c r="Q55" i="62"/>
  <c r="AG55" i="62"/>
  <c r="F60" i="62"/>
  <c r="T60" i="62"/>
  <c r="F62" i="62"/>
  <c r="T62" i="62"/>
  <c r="AJ62" i="62"/>
  <c r="AO60" i="62"/>
  <c r="AA60" i="62"/>
  <c r="O60" i="62"/>
  <c r="AM60" i="62"/>
  <c r="Y60" i="62"/>
  <c r="M60" i="62"/>
  <c r="R60" i="62"/>
  <c r="AH60" i="62"/>
  <c r="AO53" i="62"/>
  <c r="AA53" i="62"/>
  <c r="O53" i="62"/>
  <c r="AM53" i="62"/>
  <c r="Y53" i="62"/>
  <c r="M53" i="62"/>
  <c r="R53" i="62"/>
  <c r="AH53" i="62"/>
  <c r="AM55" i="62"/>
  <c r="Y55" i="62"/>
  <c r="M55" i="62"/>
  <c r="AK55" i="62"/>
  <c r="W55" i="62"/>
  <c r="K55" i="62"/>
  <c r="R55" i="62"/>
  <c r="AH55" i="62"/>
  <c r="G60" i="62"/>
  <c r="U60" i="62"/>
  <c r="AK60" i="62"/>
  <c r="G62" i="62"/>
  <c r="U62" i="62"/>
  <c r="AL62" i="62"/>
  <c r="P44" i="62"/>
  <c r="AD44" i="62"/>
  <c r="P56" i="62"/>
  <c r="AD56" i="62"/>
  <c r="P63" i="62"/>
  <c r="AD63" i="62"/>
  <c r="N65" i="62"/>
  <c r="Z65" i="62"/>
  <c r="AN65" i="62"/>
  <c r="P65" i="62"/>
  <c r="AD65" i="62"/>
  <c r="T51" i="61"/>
  <c r="S51" i="61"/>
  <c r="AQ51" i="61"/>
  <c r="R51" i="61"/>
  <c r="AO51" i="61"/>
  <c r="O51" i="61"/>
  <c r="AM51" i="61"/>
  <c r="L51" i="61"/>
  <c r="AQ47" i="61"/>
  <c r="Z47" i="61"/>
  <c r="Y47" i="61"/>
  <c r="X47" i="61"/>
  <c r="F51" i="61"/>
  <c r="AO43" i="61"/>
  <c r="AN43" i="61"/>
  <c r="AM43" i="61"/>
  <c r="AL43" i="61"/>
  <c r="AF43" i="61"/>
  <c r="M47" i="61"/>
  <c r="G51" i="61"/>
  <c r="K43" i="61"/>
  <c r="K51" i="61"/>
  <c r="Z54" i="61"/>
  <c r="Y62" i="61"/>
  <c r="AI65" i="59"/>
  <c r="L43" i="61"/>
  <c r="W47" i="61"/>
  <c r="U51" i="61"/>
  <c r="AA54" i="61"/>
  <c r="Z62" i="61"/>
  <c r="V51" i="61"/>
  <c r="AS54" i="61"/>
  <c r="AA62" i="61"/>
  <c r="X64" i="61"/>
  <c r="W64" i="61"/>
  <c r="AS64" i="61"/>
  <c r="R64" i="61"/>
  <c r="AR64" i="61"/>
  <c r="N64" i="61"/>
  <c r="AQ64" i="61"/>
  <c r="M64" i="61"/>
  <c r="AM66" i="59"/>
  <c r="AO66" i="59"/>
  <c r="W66" i="59"/>
  <c r="T66" i="59"/>
  <c r="O43" i="61"/>
  <c r="AN63" i="61"/>
  <c r="R63" i="61"/>
  <c r="AM63" i="61"/>
  <c r="N63" i="61"/>
  <c r="AL63" i="61"/>
  <c r="M63" i="61"/>
  <c r="AK63" i="61"/>
  <c r="I63" i="61"/>
  <c r="AJ63" i="61"/>
  <c r="H63" i="61"/>
  <c r="F64" i="61"/>
  <c r="P43" i="61"/>
  <c r="R49" i="61"/>
  <c r="AI51" i="61"/>
  <c r="G63" i="61"/>
  <c r="G64" i="61"/>
  <c r="AD66" i="61"/>
  <c r="AA66" i="61"/>
  <c r="Z66" i="61"/>
  <c r="Y66" i="61"/>
  <c r="P55" i="59"/>
  <c r="AP66" i="59"/>
  <c r="AR41" i="61"/>
  <c r="AI41" i="61"/>
  <c r="K41" i="61"/>
  <c r="AH41" i="61"/>
  <c r="J41" i="61"/>
  <c r="AG41" i="61"/>
  <c r="I41" i="61"/>
  <c r="Z41" i="61"/>
  <c r="H41" i="61"/>
  <c r="Y41" i="61"/>
  <c r="G41" i="61"/>
  <c r="V44" i="61"/>
  <c r="AP44" i="61"/>
  <c r="U44" i="61"/>
  <c r="AN44" i="61"/>
  <c r="T44" i="61"/>
  <c r="AM44" i="61"/>
  <c r="S44" i="61"/>
  <c r="AL44" i="61"/>
  <c r="R44" i="61"/>
  <c r="AJ44" i="61"/>
  <c r="S49" i="61"/>
  <c r="W50" i="59"/>
  <c r="AQ50" i="59"/>
  <c r="L41" i="61"/>
  <c r="AU41" i="61"/>
  <c r="E44" i="61"/>
  <c r="AK44" i="61"/>
  <c r="T49" i="61"/>
  <c r="AK51" i="61"/>
  <c r="T63" i="61"/>
  <c r="L64" i="61"/>
  <c r="N66" i="61"/>
  <c r="F62" i="61"/>
  <c r="M41" i="61"/>
  <c r="H44" i="61"/>
  <c r="U49" i="61"/>
  <c r="AL51" i="61"/>
  <c r="U63" i="61"/>
  <c r="Y64" i="61"/>
  <c r="O66" i="61"/>
  <c r="AL63" i="60"/>
  <c r="AK63" i="60"/>
  <c r="AJ63" i="60"/>
  <c r="U63" i="60"/>
  <c r="AE63" i="60"/>
  <c r="AH65" i="59"/>
  <c r="N47" i="61"/>
  <c r="M43" i="61"/>
  <c r="AH51" i="61"/>
  <c r="AR55" i="59"/>
  <c r="AP55" i="59"/>
  <c r="Z55" i="59"/>
  <c r="P66" i="59"/>
  <c r="AT41" i="61"/>
  <c r="AJ51" i="61"/>
  <c r="S63" i="61"/>
  <c r="K64" i="61"/>
  <c r="M66" i="61"/>
  <c r="AR66" i="59"/>
  <c r="Y50" i="59"/>
  <c r="V55" i="59"/>
  <c r="AL50" i="59"/>
  <c r="X55" i="59"/>
  <c r="Z63" i="59"/>
  <c r="N41" i="61"/>
  <c r="I44" i="61"/>
  <c r="V49" i="61"/>
  <c r="V63" i="61"/>
  <c r="AD64" i="61"/>
  <c r="G44" i="61"/>
  <c r="AG50" i="61"/>
  <c r="AH50" i="61"/>
  <c r="F50" i="61"/>
  <c r="AA42" i="61"/>
  <c r="L50" i="61"/>
  <c r="AJ50" i="61"/>
  <c r="Z60" i="61"/>
  <c r="AM61" i="61"/>
  <c r="AL43" i="60"/>
  <c r="AD42" i="61"/>
  <c r="M50" i="61"/>
  <c r="AK50" i="61"/>
  <c r="AT52" i="61"/>
  <c r="H60" i="61"/>
  <c r="AA60" i="61"/>
  <c r="AO61" i="61"/>
  <c r="AK65" i="61"/>
  <c r="AT51" i="59"/>
  <c r="AU43" i="60"/>
  <c r="N50" i="61"/>
  <c r="H52" i="61"/>
  <c r="I60" i="61"/>
  <c r="AD60" i="61"/>
  <c r="J65" i="61"/>
  <c r="AR44" i="60"/>
  <c r="J44" i="60"/>
  <c r="AU44" i="60"/>
  <c r="AS44" i="60"/>
  <c r="AE44" i="60"/>
  <c r="AA44" i="60"/>
  <c r="W44" i="60"/>
  <c r="V44" i="60"/>
  <c r="O44" i="60"/>
  <c r="K44" i="60"/>
  <c r="N44" i="60"/>
  <c r="AK45" i="61"/>
  <c r="AD45" i="61"/>
  <c r="V45" i="61"/>
  <c r="AU45" i="61"/>
  <c r="AS45" i="61"/>
  <c r="AR45" i="61"/>
  <c r="AQ45" i="61"/>
  <c r="U45" i="61"/>
  <c r="R45" i="61"/>
  <c r="Q45" i="61"/>
  <c r="W55" i="61"/>
  <c r="AU55" i="61"/>
  <c r="Q55" i="61"/>
  <c r="AT55" i="61"/>
  <c r="P55" i="61"/>
  <c r="AS55" i="61"/>
  <c r="I55" i="61"/>
  <c r="AG55" i="61"/>
  <c r="AE55" i="61"/>
  <c r="U55" i="61"/>
  <c r="S55" i="61"/>
  <c r="R55" i="61"/>
  <c r="H55" i="61"/>
  <c r="F55" i="61"/>
  <c r="O45" i="61"/>
  <c r="E55" i="61"/>
  <c r="R44" i="59"/>
  <c r="P45" i="61"/>
  <c r="AK49" i="61"/>
  <c r="AR54" i="61"/>
  <c r="AN54" i="61"/>
  <c r="W54" i="61"/>
  <c r="H54" i="61"/>
  <c r="AM54" i="61"/>
  <c r="V54" i="61"/>
  <c r="G54" i="61"/>
  <c r="AL54" i="61"/>
  <c r="U54" i="61"/>
  <c r="F54" i="61"/>
  <c r="AP54" i="61"/>
  <c r="S54" i="61"/>
  <c r="AO54" i="61"/>
  <c r="P54" i="61"/>
  <c r="AK54" i="61"/>
  <c r="N54" i="61"/>
  <c r="AJ54" i="61"/>
  <c r="M54" i="61"/>
  <c r="AI54" i="61"/>
  <c r="L54" i="61"/>
  <c r="AH54" i="61"/>
  <c r="K54" i="61"/>
  <c r="AF54" i="61"/>
  <c r="J54" i="61"/>
  <c r="AH55" i="61"/>
  <c r="T44" i="59"/>
  <c r="AG46" i="61"/>
  <c r="AD46" i="61"/>
  <c r="AA46" i="61"/>
  <c r="AN46" i="61"/>
  <c r="AO49" i="61"/>
  <c r="I54" i="61"/>
  <c r="AK55" i="61"/>
  <c r="E46" i="61"/>
  <c r="AQ49" i="61"/>
  <c r="T54" i="61"/>
  <c r="AL55" i="61"/>
  <c r="AP42" i="61"/>
  <c r="P42" i="61"/>
  <c r="AO42" i="61"/>
  <c r="O42" i="61"/>
  <c r="U42" i="61"/>
  <c r="T42" i="61"/>
  <c r="AU42" i="61"/>
  <c r="S42" i="61"/>
  <c r="AS42" i="61"/>
  <c r="N42" i="61"/>
  <c r="AR42" i="61"/>
  <c r="M42" i="61"/>
  <c r="AJ42" i="61"/>
  <c r="H42" i="61"/>
  <c r="AI42" i="61"/>
  <c r="G42" i="61"/>
  <c r="K46" i="61"/>
  <c r="X48" i="61"/>
  <c r="AR49" i="61"/>
  <c r="X54" i="61"/>
  <c r="AR55" i="61"/>
  <c r="F42" i="61"/>
  <c r="X46" i="61"/>
  <c r="Y54" i="61"/>
  <c r="Z56" i="61"/>
  <c r="AU56" i="61"/>
  <c r="Y56" i="61"/>
  <c r="AT56" i="61"/>
  <c r="T56" i="61"/>
  <c r="R56" i="61"/>
  <c r="P56" i="61"/>
  <c r="AR56" i="61"/>
  <c r="N56" i="61"/>
  <c r="AQ56" i="61"/>
  <c r="M56" i="61"/>
  <c r="AP56" i="61"/>
  <c r="L56" i="61"/>
  <c r="AN56" i="61"/>
  <c r="G56" i="61"/>
  <c r="AI56" i="61"/>
  <c r="E56" i="61"/>
  <c r="AH56" i="61"/>
  <c r="J45" i="61"/>
  <c r="AS44" i="59"/>
  <c r="AP49" i="61"/>
  <c r="AN49" i="61"/>
  <c r="Y49" i="61"/>
  <c r="L49" i="61"/>
  <c r="AM49" i="61"/>
  <c r="X49" i="61"/>
  <c r="K49" i="61"/>
  <c r="AL49" i="61"/>
  <c r="W49" i="61"/>
  <c r="J49" i="61"/>
  <c r="AI49" i="61"/>
  <c r="Q49" i="61"/>
  <c r="AH49" i="61"/>
  <c r="O49" i="61"/>
  <c r="AG49" i="61"/>
  <c r="N49" i="61"/>
  <c r="AF49" i="61"/>
  <c r="M49" i="61"/>
  <c r="AU49" i="61"/>
  <c r="AE49" i="61"/>
  <c r="I49" i="61"/>
  <c r="AT49" i="61"/>
  <c r="AA49" i="61"/>
  <c r="H49" i="61"/>
  <c r="AS49" i="61"/>
  <c r="Z49" i="61"/>
  <c r="E49" i="61"/>
  <c r="Y61" i="61"/>
  <c r="AK61" i="61"/>
  <c r="Z61" i="61"/>
  <c r="W61" i="61"/>
  <c r="AU62" i="61"/>
  <c r="AN62" i="61"/>
  <c r="N62" i="61"/>
  <c r="AM62" i="61"/>
  <c r="M62" i="61"/>
  <c r="AK62" i="61"/>
  <c r="K62" i="61"/>
  <c r="AD62" i="61"/>
  <c r="AP63" i="60"/>
  <c r="AH63" i="60"/>
  <c r="AM63" i="60"/>
  <c r="H61" i="61"/>
  <c r="E62" i="61"/>
  <c r="AI62" i="61"/>
  <c r="P43" i="60"/>
  <c r="K63" i="60"/>
  <c r="AO63" i="60"/>
  <c r="AS47" i="61"/>
  <c r="AO47" i="61"/>
  <c r="V47" i="61"/>
  <c r="AN47" i="61"/>
  <c r="U47" i="61"/>
  <c r="AM47" i="61"/>
  <c r="O47" i="61"/>
  <c r="AA47" i="61"/>
  <c r="AD58" i="61"/>
  <c r="I61" i="61"/>
  <c r="G62" i="61"/>
  <c r="AO62" i="61"/>
  <c r="Q43" i="60"/>
  <c r="L63" i="60"/>
  <c r="H47" i="61"/>
  <c r="AD47" i="61"/>
  <c r="AE58" i="61"/>
  <c r="K61" i="61"/>
  <c r="H62" i="61"/>
  <c r="AP62" i="61"/>
  <c r="AN66" i="61"/>
  <c r="W66" i="61"/>
  <c r="AQ66" i="61"/>
  <c r="Q66" i="61"/>
  <c r="AO66" i="61"/>
  <c r="P66" i="61"/>
  <c r="AE66" i="61"/>
  <c r="AU42" i="59"/>
  <c r="AA63" i="59"/>
  <c r="U43" i="60"/>
  <c r="M63" i="60"/>
  <c r="F49" i="61"/>
  <c r="I47" i="61"/>
  <c r="AJ47" i="61"/>
  <c r="L61" i="61"/>
  <c r="I62" i="61"/>
  <c r="AQ62" i="61"/>
  <c r="E66" i="61"/>
  <c r="AJ66" i="61"/>
  <c r="V43" i="60"/>
  <c r="N63" i="60"/>
  <c r="G49" i="61"/>
  <c r="J47" i="61"/>
  <c r="AK47" i="61"/>
  <c r="AN50" i="61"/>
  <c r="X50" i="61"/>
  <c r="J50" i="61"/>
  <c r="AM50" i="61"/>
  <c r="W50" i="61"/>
  <c r="H50" i="61"/>
  <c r="AL50" i="61"/>
  <c r="V50" i="61"/>
  <c r="G50" i="61"/>
  <c r="Z50" i="61"/>
  <c r="AT50" i="61"/>
  <c r="T61" i="61"/>
  <c r="S62" i="61"/>
  <c r="AR62" i="61"/>
  <c r="AP65" i="61"/>
  <c r="AU65" i="61"/>
  <c r="AE65" i="61"/>
  <c r="I65" i="61"/>
  <c r="AT65" i="61"/>
  <c r="X65" i="61"/>
  <c r="H65" i="61"/>
  <c r="AS65" i="61"/>
  <c r="W65" i="61"/>
  <c r="G65" i="61"/>
  <c r="AF65" i="61"/>
  <c r="J66" i="61"/>
  <c r="AK66" i="61"/>
  <c r="AE43" i="60"/>
  <c r="O63" i="60"/>
  <c r="Z43" i="61"/>
  <c r="AE43" i="61"/>
  <c r="Q43" i="61"/>
  <c r="AQ43" i="61"/>
  <c r="K47" i="61"/>
  <c r="AL47" i="61"/>
  <c r="E50" i="61"/>
  <c r="AA50" i="61"/>
  <c r="AR51" i="61"/>
  <c r="AD51" i="61"/>
  <c r="J51" i="61"/>
  <c r="AU51" i="61"/>
  <c r="Y51" i="61"/>
  <c r="I51" i="61"/>
  <c r="AT51" i="61"/>
  <c r="X51" i="61"/>
  <c r="H51" i="61"/>
  <c r="W51" i="61"/>
  <c r="W53" i="61"/>
  <c r="U61" i="61"/>
  <c r="T62" i="61"/>
  <c r="AQ63" i="61"/>
  <c r="AU63" i="61"/>
  <c r="AF63" i="61"/>
  <c r="L63" i="61"/>
  <c r="AT63" i="61"/>
  <c r="Z63" i="61"/>
  <c r="K63" i="61"/>
  <c r="AS63" i="61"/>
  <c r="Y63" i="61"/>
  <c r="J63" i="61"/>
  <c r="W63" i="61"/>
  <c r="AL64" i="61"/>
  <c r="Q64" i="61"/>
  <c r="AK64" i="61"/>
  <c r="P64" i="61"/>
  <c r="AG64" i="61"/>
  <c r="O64" i="61"/>
  <c r="Z64" i="61"/>
  <c r="E65" i="61"/>
  <c r="AG65" i="61"/>
  <c r="K66" i="61"/>
  <c r="AL66" i="61"/>
  <c r="N55" i="59"/>
  <c r="AA55" i="59"/>
  <c r="S63" i="60"/>
  <c r="I43" i="61"/>
  <c r="AQ44" i="61"/>
  <c r="AT44" i="61"/>
  <c r="Z44" i="61"/>
  <c r="K44" i="61"/>
  <c r="AR44" i="61"/>
  <c r="Y44" i="61"/>
  <c r="J44" i="61"/>
  <c r="W44" i="61"/>
  <c r="AU44" i="61"/>
  <c r="L47" i="61"/>
  <c r="AP47" i="61"/>
  <c r="K50" i="61"/>
  <c r="AD50" i="61"/>
  <c r="E51" i="61"/>
  <c r="AG51" i="61"/>
  <c r="Y53" i="61"/>
  <c r="V61" i="61"/>
  <c r="U62" i="61"/>
  <c r="F63" i="61"/>
  <c r="X63" i="61"/>
  <c r="E64" i="61"/>
  <c r="AA64" i="61"/>
  <c r="F65" i="61"/>
  <c r="AH65" i="61"/>
  <c r="L66" i="61"/>
  <c r="AM66" i="61"/>
  <c r="AR59" i="61"/>
  <c r="F56" i="61"/>
  <c r="U41" i="61"/>
  <c r="AM41" i="61"/>
  <c r="AP52" i="61"/>
  <c r="K59" i="61"/>
  <c r="AT59" i="61"/>
  <c r="V60" i="61"/>
  <c r="AP60" i="61"/>
  <c r="F44" i="61"/>
  <c r="V41" i="61"/>
  <c r="AN41" i="61"/>
  <c r="AQ52" i="61"/>
  <c r="L59" i="61"/>
  <c r="W60" i="61"/>
  <c r="AQ60" i="61"/>
  <c r="F30" i="60"/>
  <c r="G44" i="59"/>
  <c r="G42" i="59"/>
  <c r="AH48" i="61"/>
  <c r="E58" i="61"/>
  <c r="AG58" i="61"/>
  <c r="AM46" i="61"/>
  <c r="Y46" i="61"/>
  <c r="M46" i="61"/>
  <c r="AL46" i="61"/>
  <c r="W46" i="61"/>
  <c r="J46" i="61"/>
  <c r="AK46" i="61"/>
  <c r="V46" i="61"/>
  <c r="I46" i="61"/>
  <c r="AJ46" i="61"/>
  <c r="U46" i="61"/>
  <c r="H46" i="61"/>
  <c r="AU46" i="61"/>
  <c r="S46" i="61"/>
  <c r="AI46" i="61"/>
  <c r="T46" i="61"/>
  <c r="G46" i="61"/>
  <c r="AH46" i="61"/>
  <c r="F46" i="61"/>
  <c r="AR46" i="61"/>
  <c r="AE46" i="61"/>
  <c r="P46" i="61"/>
  <c r="AF46" i="61"/>
  <c r="G48" i="61"/>
  <c r="AI48" i="61"/>
  <c r="AE53" i="61"/>
  <c r="G58" i="61"/>
  <c r="AF48" i="61"/>
  <c r="AG48" i="61"/>
  <c r="AN58" i="61"/>
  <c r="Z58" i="61"/>
  <c r="N58" i="61"/>
  <c r="AP58" i="61"/>
  <c r="AA58" i="61"/>
  <c r="M58" i="61"/>
  <c r="AO58" i="61"/>
  <c r="Y58" i="61"/>
  <c r="L58" i="61"/>
  <c r="AM58" i="61"/>
  <c r="X58" i="61"/>
  <c r="K58" i="61"/>
  <c r="AL58" i="61"/>
  <c r="W58" i="61"/>
  <c r="J58" i="61"/>
  <c r="AK58" i="61"/>
  <c r="V58" i="61"/>
  <c r="I58" i="61"/>
  <c r="AU58" i="61"/>
  <c r="AH58" i="61"/>
  <c r="S58" i="61"/>
  <c r="F58" i="61"/>
  <c r="I48" i="61"/>
  <c r="AL48" i="61"/>
  <c r="AJ58" i="61"/>
  <c r="G30" i="61"/>
  <c r="AM48" i="61"/>
  <c r="J53" i="61"/>
  <c r="AM53" i="61"/>
  <c r="O58" i="61"/>
  <c r="W43" i="61"/>
  <c r="AR43" i="61"/>
  <c r="AT45" i="61"/>
  <c r="AH45" i="61"/>
  <c r="T45" i="61"/>
  <c r="H45" i="61"/>
  <c r="AP45" i="61"/>
  <c r="AA45" i="61"/>
  <c r="N45" i="61"/>
  <c r="AO45" i="61"/>
  <c r="Z45" i="61"/>
  <c r="M45" i="61"/>
  <c r="AN45" i="61"/>
  <c r="Y45" i="61"/>
  <c r="L45" i="61"/>
  <c r="AL45" i="61"/>
  <c r="W45" i="61"/>
  <c r="AM45" i="61"/>
  <c r="X45" i="61"/>
  <c r="K45" i="61"/>
  <c r="AI45" i="61"/>
  <c r="S45" i="61"/>
  <c r="F45" i="61"/>
  <c r="AE45" i="61"/>
  <c r="L46" i="61"/>
  <c r="AO46" i="61"/>
  <c r="Q48" i="61"/>
  <c r="AS48" i="61"/>
  <c r="K53" i="61"/>
  <c r="AN53" i="61"/>
  <c r="P58" i="61"/>
  <c r="AR58" i="61"/>
  <c r="Y59" i="61"/>
  <c r="X43" i="61"/>
  <c r="AS43" i="61"/>
  <c r="E45" i="61"/>
  <c r="AF45" i="61"/>
  <c r="N46" i="61"/>
  <c r="AP46" i="61"/>
  <c r="R48" i="61"/>
  <c r="AT48" i="61"/>
  <c r="M53" i="61"/>
  <c r="Q58" i="61"/>
  <c r="AS58" i="61"/>
  <c r="Z59" i="61"/>
  <c r="AF58" i="61"/>
  <c r="AL53" i="61"/>
  <c r="X53" i="61"/>
  <c r="L53" i="61"/>
  <c r="AK53" i="61"/>
  <c r="V53" i="61"/>
  <c r="I53" i="61"/>
  <c r="AJ53" i="61"/>
  <c r="U53" i="61"/>
  <c r="H53" i="61"/>
  <c r="AI53" i="61"/>
  <c r="T53" i="61"/>
  <c r="G53" i="61"/>
  <c r="AU53" i="61"/>
  <c r="AH53" i="61"/>
  <c r="S53" i="61"/>
  <c r="F53" i="61"/>
  <c r="AT53" i="61"/>
  <c r="AG53" i="61"/>
  <c r="R53" i="61"/>
  <c r="E53" i="61"/>
  <c r="AQ53" i="61"/>
  <c r="AD53" i="61"/>
  <c r="O53" i="61"/>
  <c r="J48" i="61"/>
  <c r="Y43" i="61"/>
  <c r="G45" i="61"/>
  <c r="AG45" i="61"/>
  <c r="O46" i="61"/>
  <c r="AQ46" i="61"/>
  <c r="S48" i="61"/>
  <c r="AS52" i="61"/>
  <c r="AG52" i="61"/>
  <c r="S52" i="61"/>
  <c r="G52" i="61"/>
  <c r="AO52" i="61"/>
  <c r="Z52" i="61"/>
  <c r="M52" i="61"/>
  <c r="AN52" i="61"/>
  <c r="Y52" i="61"/>
  <c r="L52" i="61"/>
  <c r="AM52" i="61"/>
  <c r="X52" i="61"/>
  <c r="K52" i="61"/>
  <c r="AL52" i="61"/>
  <c r="W52" i="61"/>
  <c r="J52" i="61"/>
  <c r="AK52" i="61"/>
  <c r="V52" i="61"/>
  <c r="I52" i="61"/>
  <c r="AU52" i="61"/>
  <c r="AH52" i="61"/>
  <c r="R52" i="61"/>
  <c r="E52" i="61"/>
  <c r="AF52" i="61"/>
  <c r="N53" i="61"/>
  <c r="AP53" i="61"/>
  <c r="R58" i="61"/>
  <c r="AT58" i="61"/>
  <c r="AA59" i="61"/>
  <c r="AK48" i="61"/>
  <c r="W48" i="61"/>
  <c r="K48" i="61"/>
  <c r="AR48" i="61"/>
  <c r="AE48" i="61"/>
  <c r="P48" i="61"/>
  <c r="AQ48" i="61"/>
  <c r="AD48" i="61"/>
  <c r="O48" i="61"/>
  <c r="L48" i="61"/>
  <c r="AP48" i="61"/>
  <c r="AA48" i="61"/>
  <c r="N48" i="61"/>
  <c r="Y48" i="61"/>
  <c r="AO48" i="61"/>
  <c r="Z48" i="61"/>
  <c r="M48" i="61"/>
  <c r="AN48" i="61"/>
  <c r="AJ48" i="61"/>
  <c r="U48" i="61"/>
  <c r="H48" i="61"/>
  <c r="E48" i="61"/>
  <c r="F30" i="61"/>
  <c r="H58" i="61"/>
  <c r="AQ58" i="61"/>
  <c r="I45" i="61"/>
  <c r="AJ45" i="61"/>
  <c r="Q46" i="61"/>
  <c r="AS46" i="61"/>
  <c r="T48" i="61"/>
  <c r="F52" i="61"/>
  <c r="AI52" i="61"/>
  <c r="P53" i="61"/>
  <c r="AR53" i="61"/>
  <c r="AJ55" i="61"/>
  <c r="V55" i="61"/>
  <c r="J55" i="61"/>
  <c r="AQ55" i="61"/>
  <c r="AD55" i="61"/>
  <c r="O55" i="61"/>
  <c r="AP55" i="61"/>
  <c r="AA55" i="61"/>
  <c r="N55" i="61"/>
  <c r="AO55" i="61"/>
  <c r="Z55" i="61"/>
  <c r="M55" i="61"/>
  <c r="AN55" i="61"/>
  <c r="Y55" i="61"/>
  <c r="L55" i="61"/>
  <c r="AM55" i="61"/>
  <c r="X55" i="61"/>
  <c r="K55" i="61"/>
  <c r="AI55" i="61"/>
  <c r="T55" i="61"/>
  <c r="G55" i="61"/>
  <c r="AF55" i="61"/>
  <c r="T58" i="61"/>
  <c r="AS61" i="61"/>
  <c r="AG61" i="61"/>
  <c r="S61" i="61"/>
  <c r="G61" i="61"/>
  <c r="AQ61" i="61"/>
  <c r="AE61" i="61"/>
  <c r="Q61" i="61"/>
  <c r="E61" i="61"/>
  <c r="AI61" i="61"/>
  <c r="R61" i="61"/>
  <c r="AH61" i="61"/>
  <c r="P61" i="61"/>
  <c r="AU61" i="61"/>
  <c r="AF61" i="61"/>
  <c r="O61" i="61"/>
  <c r="AT61" i="61"/>
  <c r="AD61" i="61"/>
  <c r="N61" i="61"/>
  <c r="AR61" i="61"/>
  <c r="AA61" i="61"/>
  <c r="M61" i="61"/>
  <c r="AN61" i="61"/>
  <c r="X61" i="61"/>
  <c r="J61" i="61"/>
  <c r="AJ61" i="61"/>
  <c r="F48" i="61"/>
  <c r="AF53" i="61"/>
  <c r="AJ43" i="61"/>
  <c r="V43" i="61"/>
  <c r="J43" i="61"/>
  <c r="AK43" i="61"/>
  <c r="U43" i="61"/>
  <c r="H43" i="61"/>
  <c r="AI43" i="61"/>
  <c r="T43" i="61"/>
  <c r="G43" i="61"/>
  <c r="AU43" i="61"/>
  <c r="S43" i="61"/>
  <c r="AH43" i="61"/>
  <c r="F43" i="61"/>
  <c r="AT43" i="61"/>
  <c r="AG43" i="61"/>
  <c r="R43" i="61"/>
  <c r="E43" i="61"/>
  <c r="AP43" i="61"/>
  <c r="AA43" i="61"/>
  <c r="N43" i="61"/>
  <c r="AD43" i="61"/>
  <c r="R46" i="61"/>
  <c r="AT46" i="61"/>
  <c r="V48" i="61"/>
  <c r="Q53" i="61"/>
  <c r="AS53" i="61"/>
  <c r="U58" i="61"/>
  <c r="AS59" i="61"/>
  <c r="AG59" i="61"/>
  <c r="S59" i="61"/>
  <c r="G59" i="61"/>
  <c r="AL59" i="61"/>
  <c r="W59" i="61"/>
  <c r="J59" i="61"/>
  <c r="AK59" i="61"/>
  <c r="V59" i="61"/>
  <c r="I59" i="61"/>
  <c r="AJ59" i="61"/>
  <c r="U59" i="61"/>
  <c r="H59" i="61"/>
  <c r="AI59" i="61"/>
  <c r="T59" i="61"/>
  <c r="F59" i="61"/>
  <c r="AU59" i="61"/>
  <c r="AH59" i="61"/>
  <c r="R59" i="61"/>
  <c r="E59" i="61"/>
  <c r="AQ59" i="61"/>
  <c r="AD59" i="61"/>
  <c r="O59" i="61"/>
  <c r="AF59" i="61"/>
  <c r="AQ42" i="61"/>
  <c r="AE42" i="61"/>
  <c r="Q42" i="61"/>
  <c r="E42" i="61"/>
  <c r="R42" i="61"/>
  <c r="AG42" i="61"/>
  <c r="AT42" i="61"/>
  <c r="AO56" i="61"/>
  <c r="AA56" i="61"/>
  <c r="O56" i="61"/>
  <c r="Q56" i="61"/>
  <c r="AF56" i="61"/>
  <c r="AS56" i="61"/>
  <c r="C41" i="61"/>
  <c r="O41" i="61"/>
  <c r="AA41" i="61"/>
  <c r="AO41" i="61"/>
  <c r="I42" i="61"/>
  <c r="V42" i="61"/>
  <c r="AK42" i="61"/>
  <c r="N44" i="61"/>
  <c r="AD44" i="61"/>
  <c r="P47" i="61"/>
  <c r="AE47" i="61"/>
  <c r="AU50" i="61"/>
  <c r="AI50" i="61"/>
  <c r="U50" i="61"/>
  <c r="I50" i="61"/>
  <c r="Q50" i="61"/>
  <c r="AF50" i="61"/>
  <c r="AS50" i="61"/>
  <c r="M51" i="61"/>
  <c r="AA51" i="61"/>
  <c r="AP51" i="61"/>
  <c r="O54" i="61"/>
  <c r="AD54" i="61"/>
  <c r="H56" i="61"/>
  <c r="U56" i="61"/>
  <c r="AJ56" i="61"/>
  <c r="P60" i="61"/>
  <c r="AE60" i="61"/>
  <c r="O62" i="61"/>
  <c r="AE62" i="61"/>
  <c r="AS62" i="61"/>
  <c r="AJ64" i="61"/>
  <c r="V64" i="61"/>
  <c r="J64" i="61"/>
  <c r="AU64" i="61"/>
  <c r="AI64" i="61"/>
  <c r="U64" i="61"/>
  <c r="I64" i="61"/>
  <c r="AT64" i="61"/>
  <c r="AH64" i="61"/>
  <c r="T64" i="61"/>
  <c r="H64" i="61"/>
  <c r="S64" i="61"/>
  <c r="AM64" i="61"/>
  <c r="V66" i="61"/>
  <c r="AP41" i="61"/>
  <c r="W42" i="61"/>
  <c r="AR47" i="61"/>
  <c r="AF47" i="61"/>
  <c r="R47" i="61"/>
  <c r="F47" i="61"/>
  <c r="AG47" i="61"/>
  <c r="I56" i="61"/>
  <c r="V56" i="61"/>
  <c r="AK56" i="61"/>
  <c r="AN60" i="61"/>
  <c r="AL60" i="61"/>
  <c r="X60" i="61"/>
  <c r="L60" i="61"/>
  <c r="Q60" i="61"/>
  <c r="AF60" i="61"/>
  <c r="AT60" i="61"/>
  <c r="P62" i="61"/>
  <c r="AF62" i="61"/>
  <c r="AT62" i="61"/>
  <c r="P41" i="61"/>
  <c r="AD41" i="61"/>
  <c r="J42" i="61"/>
  <c r="AL42" i="61"/>
  <c r="Q47" i="61"/>
  <c r="AT47" i="61"/>
  <c r="E41" i="61"/>
  <c r="Q41" i="61"/>
  <c r="AE41" i="61"/>
  <c r="AQ41" i="61"/>
  <c r="K42" i="61"/>
  <c r="X42" i="61"/>
  <c r="AM42" i="61"/>
  <c r="AO44" i="61"/>
  <c r="AA44" i="61"/>
  <c r="O44" i="61"/>
  <c r="Q44" i="61"/>
  <c r="AF44" i="61"/>
  <c r="AS44" i="61"/>
  <c r="E47" i="61"/>
  <c r="S47" i="61"/>
  <c r="AH47" i="61"/>
  <c r="AU47" i="61"/>
  <c r="P51" i="61"/>
  <c r="AE51" i="61"/>
  <c r="AQ54" i="61"/>
  <c r="AE54" i="61"/>
  <c r="Q54" i="61"/>
  <c r="E54" i="61"/>
  <c r="R54" i="61"/>
  <c r="AG54" i="61"/>
  <c r="AT54" i="61"/>
  <c r="J56" i="61"/>
  <c r="W56" i="61"/>
  <c r="AL56" i="61"/>
  <c r="E60" i="61"/>
  <c r="R60" i="61"/>
  <c r="AG60" i="61"/>
  <c r="AU60" i="61"/>
  <c r="Q62" i="61"/>
  <c r="AG62" i="61"/>
  <c r="AU66" i="61"/>
  <c r="AI66" i="61"/>
  <c r="U66" i="61"/>
  <c r="I66" i="61"/>
  <c r="AT66" i="61"/>
  <c r="AH66" i="61"/>
  <c r="T66" i="61"/>
  <c r="H66" i="61"/>
  <c r="AS66" i="61"/>
  <c r="AG66" i="61"/>
  <c r="S66" i="61"/>
  <c r="G66" i="61"/>
  <c r="AR66" i="61"/>
  <c r="AF66" i="61"/>
  <c r="R66" i="61"/>
  <c r="F66" i="61"/>
  <c r="X66" i="61"/>
  <c r="AP66" i="61"/>
  <c r="F41" i="61"/>
  <c r="R41" i="61"/>
  <c r="AF41" i="61"/>
  <c r="L42" i="61"/>
  <c r="Y42" i="61"/>
  <c r="AN42" i="61"/>
  <c r="G47" i="61"/>
  <c r="T47" i="61"/>
  <c r="AI47" i="61"/>
  <c r="AN51" i="61"/>
  <c r="Z51" i="61"/>
  <c r="N51" i="61"/>
  <c r="Q51" i="61"/>
  <c r="AF51" i="61"/>
  <c r="AS51" i="61"/>
  <c r="K56" i="61"/>
  <c r="X56" i="61"/>
  <c r="AM56" i="61"/>
  <c r="AL62" i="61"/>
  <c r="X62" i="61"/>
  <c r="L62" i="61"/>
  <c r="AJ62" i="61"/>
  <c r="V62" i="61"/>
  <c r="J62" i="61"/>
  <c r="R62" i="61"/>
  <c r="AH62" i="61"/>
  <c r="P49" i="61"/>
  <c r="AD49" i="61"/>
  <c r="O63" i="61"/>
  <c r="AA63" i="61"/>
  <c r="AO63" i="61"/>
  <c r="M65" i="61"/>
  <c r="Y65" i="61"/>
  <c r="AM65" i="61"/>
  <c r="P63" i="61"/>
  <c r="AD63" i="61"/>
  <c r="AP63" i="61"/>
  <c r="N65" i="61"/>
  <c r="Z65" i="61"/>
  <c r="AN65" i="61"/>
  <c r="E63" i="61"/>
  <c r="Q63" i="61"/>
  <c r="AE63" i="61"/>
  <c r="O65" i="61"/>
  <c r="AA65" i="61"/>
  <c r="AO65" i="61"/>
  <c r="P65" i="61"/>
  <c r="AD65" i="61"/>
  <c r="J54" i="59"/>
  <c r="V54" i="59"/>
  <c r="Y66" i="59"/>
  <c r="L52" i="60"/>
  <c r="O46" i="59"/>
  <c r="J53" i="59"/>
  <c r="W54" i="59"/>
  <c r="V59" i="59"/>
  <c r="J63" i="59"/>
  <c r="AR63" i="59"/>
  <c r="H66" i="59"/>
  <c r="Z66" i="59"/>
  <c r="N52" i="60"/>
  <c r="W56" i="60"/>
  <c r="AK63" i="59"/>
  <c r="AG48" i="59"/>
  <c r="M54" i="59"/>
  <c r="E63" i="59"/>
  <c r="I63" i="59"/>
  <c r="Q46" i="59"/>
  <c r="K53" i="59"/>
  <c r="N63" i="59"/>
  <c r="AS63" i="59"/>
  <c r="I66" i="59"/>
  <c r="AA66" i="59"/>
  <c r="Z52" i="60"/>
  <c r="X46" i="59"/>
  <c r="AN49" i="59"/>
  <c r="L51" i="59"/>
  <c r="Z54" i="59"/>
  <c r="AA59" i="59"/>
  <c r="O63" i="59"/>
  <c r="AT63" i="59"/>
  <c r="AD66" i="59"/>
  <c r="V44" i="59"/>
  <c r="AD46" i="59"/>
  <c r="X51" i="59"/>
  <c r="P53" i="59"/>
  <c r="K66" i="59"/>
  <c r="AE66" i="59"/>
  <c r="AJ52" i="60"/>
  <c r="W63" i="60"/>
  <c r="AQ63" i="60"/>
  <c r="W44" i="59"/>
  <c r="AE46" i="59"/>
  <c r="AP49" i="59"/>
  <c r="AD51" i="59"/>
  <c r="V53" i="59"/>
  <c r="AN54" i="59"/>
  <c r="V63" i="59"/>
  <c r="AJ51" i="59"/>
  <c r="AD53" i="59"/>
  <c r="X63" i="59"/>
  <c r="AJ66" i="59"/>
  <c r="E44" i="60"/>
  <c r="AH44" i="60"/>
  <c r="AM52" i="60"/>
  <c r="H63" i="60"/>
  <c r="AU63" i="60"/>
  <c r="AE42" i="59"/>
  <c r="AQ44" i="59"/>
  <c r="AT46" i="59"/>
  <c r="AM51" i="59"/>
  <c r="AP53" i="59"/>
  <c r="G55" i="59"/>
  <c r="Y63" i="59"/>
  <c r="R65" i="59"/>
  <c r="N66" i="59"/>
  <c r="AK66" i="59"/>
  <c r="H44" i="60"/>
  <c r="AI44" i="60"/>
  <c r="AR52" i="60"/>
  <c r="I63" i="60"/>
  <c r="Z63" i="60"/>
  <c r="AO63" i="59"/>
  <c r="AQ63" i="59"/>
  <c r="Y54" i="59"/>
  <c r="Y59" i="59"/>
  <c r="O53" i="59"/>
  <c r="J66" i="59"/>
  <c r="AA52" i="60"/>
  <c r="AO49" i="59"/>
  <c r="AE54" i="59"/>
  <c r="R63" i="59"/>
  <c r="L66" i="59"/>
  <c r="AI66" i="59"/>
  <c r="AG44" i="60"/>
  <c r="F63" i="60"/>
  <c r="X63" i="60"/>
  <c r="AR63" i="60"/>
  <c r="X44" i="59"/>
  <c r="M66" i="59"/>
  <c r="U48" i="60"/>
  <c r="Y63" i="60"/>
  <c r="AR53" i="59"/>
  <c r="O66" i="59"/>
  <c r="AN66" i="59"/>
  <c r="I44" i="60"/>
  <c r="J63" i="60"/>
  <c r="AA63" i="60"/>
  <c r="AM62" i="60"/>
  <c r="AF62" i="60"/>
  <c r="Z62" i="60"/>
  <c r="X62" i="60"/>
  <c r="R62" i="60"/>
  <c r="AU62" i="60"/>
  <c r="Q62" i="60"/>
  <c r="O56" i="59"/>
  <c r="M58" i="59"/>
  <c r="J62" i="60"/>
  <c r="AR49" i="59"/>
  <c r="AO61" i="59"/>
  <c r="AU61" i="59"/>
  <c r="AD61" i="59"/>
  <c r="AA61" i="59"/>
  <c r="AN47" i="60"/>
  <c r="AJ47" i="60"/>
  <c r="AE47" i="60"/>
  <c r="AG45" i="59"/>
  <c r="Z45" i="59"/>
  <c r="Q45" i="59"/>
  <c r="F49" i="59"/>
  <c r="AL44" i="59"/>
  <c r="S44" i="59"/>
  <c r="AH44" i="59"/>
  <c r="M44" i="59"/>
  <c r="AG44" i="59"/>
  <c r="L44" i="59"/>
  <c r="Y44" i="59"/>
  <c r="AD45" i="59"/>
  <c r="J49" i="59"/>
  <c r="U61" i="59"/>
  <c r="Q47" i="60"/>
  <c r="AN50" i="59"/>
  <c r="M50" i="59"/>
  <c r="AH50" i="59"/>
  <c r="AA50" i="59"/>
  <c r="AG58" i="59"/>
  <c r="R47" i="60"/>
  <c r="AL51" i="60"/>
  <c r="AE44" i="59"/>
  <c r="AO45" i="59"/>
  <c r="N49" i="59"/>
  <c r="AU50" i="59"/>
  <c r="AO56" i="59"/>
  <c r="AN58" i="59"/>
  <c r="AE45" i="60"/>
  <c r="AD45" i="60"/>
  <c r="T45" i="60"/>
  <c r="V47" i="60"/>
  <c r="AH62" i="60"/>
  <c r="AQ64" i="60"/>
  <c r="AG46" i="59"/>
  <c r="AA46" i="59"/>
  <c r="Y46" i="59"/>
  <c r="Y51" i="59"/>
  <c r="Q51" i="59"/>
  <c r="N51" i="59"/>
  <c r="AS53" i="59"/>
  <c r="AQ58" i="59"/>
  <c r="AU62" i="59"/>
  <c r="AA62" i="59"/>
  <c r="O65" i="59"/>
  <c r="AR65" i="59"/>
  <c r="P45" i="60"/>
  <c r="AT47" i="60"/>
  <c r="AD52" i="60"/>
  <c r="U52" i="60"/>
  <c r="S52" i="60"/>
  <c r="R52" i="60"/>
  <c r="W59" i="60"/>
  <c r="V59" i="60"/>
  <c r="AI62" i="60"/>
  <c r="AR64" i="60"/>
  <c r="AL42" i="60"/>
  <c r="N58" i="59"/>
  <c r="AS51" i="60"/>
  <c r="AE51" i="60"/>
  <c r="V51" i="60"/>
  <c r="T51" i="60"/>
  <c r="AS49" i="59"/>
  <c r="T61" i="59"/>
  <c r="E44" i="59"/>
  <c r="Y62" i="60"/>
  <c r="I44" i="59"/>
  <c r="AI44" i="59"/>
  <c r="AH47" i="59"/>
  <c r="V49" i="59"/>
  <c r="O50" i="59"/>
  <c r="AA52" i="59"/>
  <c r="AO54" i="59"/>
  <c r="AT42" i="59"/>
  <c r="AL42" i="59"/>
  <c r="J44" i="59"/>
  <c r="AJ44" i="59"/>
  <c r="K46" i="59"/>
  <c r="AN47" i="59"/>
  <c r="P50" i="59"/>
  <c r="K51" i="59"/>
  <c r="AE62" i="59"/>
  <c r="P65" i="59"/>
  <c r="AP41" i="60"/>
  <c r="AS41" i="60"/>
  <c r="AR41" i="60"/>
  <c r="AQ41" i="60"/>
  <c r="R45" i="60"/>
  <c r="AU47" i="60"/>
  <c r="J52" i="60"/>
  <c r="AO62" i="60"/>
  <c r="AT65" i="60"/>
  <c r="AK65" i="60"/>
  <c r="AE65" i="60"/>
  <c r="X65" i="60"/>
  <c r="U65" i="60"/>
  <c r="Y58" i="59"/>
  <c r="L58" i="59"/>
  <c r="AU58" i="59"/>
  <c r="K58" i="59"/>
  <c r="AT58" i="59"/>
  <c r="I58" i="59"/>
  <c r="H62" i="60"/>
  <c r="Y49" i="59"/>
  <c r="AU49" i="59"/>
  <c r="T49" i="59"/>
  <c r="AT49" i="59"/>
  <c r="R49" i="59"/>
  <c r="R51" i="60"/>
  <c r="AH51" i="60"/>
  <c r="Z44" i="59"/>
  <c r="AE45" i="59"/>
  <c r="AT50" i="59"/>
  <c r="AF64" i="59"/>
  <c r="AE64" i="59"/>
  <c r="AD64" i="59"/>
  <c r="H44" i="59"/>
  <c r="N50" i="59"/>
  <c r="K44" i="59"/>
  <c r="AN44" i="59"/>
  <c r="AP48" i="59"/>
  <c r="AD48" i="59"/>
  <c r="AA48" i="59"/>
  <c r="Z49" i="59"/>
  <c r="R50" i="59"/>
  <c r="X54" i="59"/>
  <c r="AU54" i="59"/>
  <c r="P54" i="59"/>
  <c r="AT54" i="59"/>
  <c r="N54" i="59"/>
  <c r="AP62" i="60"/>
  <c r="AF56" i="59"/>
  <c r="AN56" i="59"/>
  <c r="AK56" i="59"/>
  <c r="V56" i="59"/>
  <c r="Q56" i="59"/>
  <c r="T56" i="59"/>
  <c r="AD58" i="59"/>
  <c r="L62" i="60"/>
  <c r="H47" i="60"/>
  <c r="M62" i="60"/>
  <c r="AL56" i="59"/>
  <c r="AF58" i="59"/>
  <c r="N62" i="60"/>
  <c r="L49" i="59"/>
  <c r="AM56" i="59"/>
  <c r="W61" i="59"/>
  <c r="AP64" i="60"/>
  <c r="AE52" i="59"/>
  <c r="Z52" i="59"/>
  <c r="Y52" i="59"/>
  <c r="AE53" i="59"/>
  <c r="AQ53" i="59"/>
  <c r="Z53" i="59"/>
  <c r="W53" i="59"/>
  <c r="AS54" i="59"/>
  <c r="S45" i="60"/>
  <c r="AG42" i="59"/>
  <c r="O44" i="59"/>
  <c r="AO44" i="59"/>
  <c r="P46" i="59"/>
  <c r="AE48" i="59"/>
  <c r="AD49" i="59"/>
  <c r="U50" i="59"/>
  <c r="T51" i="59"/>
  <c r="I53" i="59"/>
  <c r="H54" i="59"/>
  <c r="AS55" i="59"/>
  <c r="H55" i="59"/>
  <c r="AL55" i="59"/>
  <c r="AD55" i="59"/>
  <c r="AM63" i="59"/>
  <c r="Q63" i="59"/>
  <c r="AG63" i="59"/>
  <c r="M63" i="59"/>
  <c r="AF63" i="59"/>
  <c r="L63" i="59"/>
  <c r="AE63" i="59"/>
  <c r="K63" i="59"/>
  <c r="AJ63" i="59"/>
  <c r="AF65" i="59"/>
  <c r="Y41" i="60"/>
  <c r="AT44" i="60"/>
  <c r="X44" i="60"/>
  <c r="G44" i="60"/>
  <c r="AQ44" i="60"/>
  <c r="T44" i="60"/>
  <c r="AM44" i="60"/>
  <c r="R44" i="60"/>
  <c r="AK44" i="60"/>
  <c r="Q44" i="60"/>
  <c r="AF44" i="60"/>
  <c r="AG45" i="60"/>
  <c r="M52" i="60"/>
  <c r="AS62" i="60"/>
  <c r="X66" i="59"/>
  <c r="AQ66" i="59"/>
  <c r="V63" i="60"/>
  <c r="AN63" i="60"/>
  <c r="AQ61" i="60"/>
  <c r="AS60" i="59"/>
  <c r="AM42" i="60"/>
  <c r="AG62" i="59"/>
  <c r="AH64" i="59"/>
  <c r="AS64" i="59"/>
  <c r="W64" i="59"/>
  <c r="AR64" i="59"/>
  <c r="V64" i="59"/>
  <c r="AP64" i="59"/>
  <c r="N64" i="59"/>
  <c r="AJ64" i="59"/>
  <c r="J64" i="59"/>
  <c r="F50" i="60"/>
  <c r="E56" i="60"/>
  <c r="J47" i="59"/>
  <c r="J42" i="60"/>
  <c r="G50" i="60"/>
  <c r="F56" i="60"/>
  <c r="AJ56" i="60"/>
  <c r="AO62" i="59"/>
  <c r="AP42" i="60"/>
  <c r="AT64" i="60"/>
  <c r="L47" i="59"/>
  <c r="AT48" i="59"/>
  <c r="W48" i="59"/>
  <c r="AS48" i="59"/>
  <c r="Q48" i="59"/>
  <c r="AO48" i="59"/>
  <c r="I48" i="59"/>
  <c r="AF48" i="59"/>
  <c r="AG52" i="59"/>
  <c r="AO52" i="59"/>
  <c r="O52" i="59"/>
  <c r="AN52" i="59"/>
  <c r="N52" i="59"/>
  <c r="AU52" i="59"/>
  <c r="X52" i="59"/>
  <c r="AR52" i="59"/>
  <c r="P52" i="59"/>
  <c r="W56" i="59"/>
  <c r="AQ56" i="59"/>
  <c r="N42" i="60"/>
  <c r="AQ42" i="60"/>
  <c r="S53" i="60"/>
  <c r="AL56" i="60"/>
  <c r="AL58" i="60"/>
  <c r="H58" i="60"/>
  <c r="AU58" i="60"/>
  <c r="AM58" i="60"/>
  <c r="AJ58" i="60"/>
  <c r="W58" i="60"/>
  <c r="N64" i="60"/>
  <c r="AF45" i="59"/>
  <c r="K45" i="59"/>
  <c r="AA45" i="59"/>
  <c r="Y45" i="59"/>
  <c r="AP45" i="59"/>
  <c r="M47" i="59"/>
  <c r="J48" i="59"/>
  <c r="AR48" i="59"/>
  <c r="G52" i="59"/>
  <c r="AS56" i="59"/>
  <c r="K59" i="59"/>
  <c r="K64" i="59"/>
  <c r="O42" i="60"/>
  <c r="T53" i="60"/>
  <c r="AO56" i="60"/>
  <c r="I61" i="60"/>
  <c r="E65" i="60"/>
  <c r="U42" i="59"/>
  <c r="S42" i="59"/>
  <c r="P43" i="59"/>
  <c r="AH43" i="59"/>
  <c r="AE43" i="59"/>
  <c r="L45" i="59"/>
  <c r="AQ45" i="59"/>
  <c r="X47" i="59"/>
  <c r="M48" i="59"/>
  <c r="H56" i="59"/>
  <c r="Y56" i="59"/>
  <c r="L59" i="59"/>
  <c r="AN59" i="59"/>
  <c r="X60" i="59"/>
  <c r="K61" i="59"/>
  <c r="AK61" i="59"/>
  <c r="Q62" i="59"/>
  <c r="AS62" i="59"/>
  <c r="O64" i="59"/>
  <c r="AI43" i="60"/>
  <c r="AT43" i="60"/>
  <c r="AA43" i="60"/>
  <c r="H43" i="60"/>
  <c r="AS43" i="60"/>
  <c r="Y43" i="60"/>
  <c r="G43" i="60"/>
  <c r="AF43" i="60"/>
  <c r="I43" i="60"/>
  <c r="AD43" i="60"/>
  <c r="X43" i="60"/>
  <c r="AN45" i="60"/>
  <c r="X45" i="60"/>
  <c r="J45" i="60"/>
  <c r="AM45" i="60"/>
  <c r="W45" i="60"/>
  <c r="H45" i="60"/>
  <c r="AT45" i="60"/>
  <c r="AA45" i="60"/>
  <c r="K45" i="60"/>
  <c r="AR45" i="60"/>
  <c r="Z45" i="60"/>
  <c r="G45" i="60"/>
  <c r="AQ45" i="60"/>
  <c r="Y45" i="60"/>
  <c r="F45" i="60"/>
  <c r="AP45" i="60"/>
  <c r="V45" i="60"/>
  <c r="E45" i="60"/>
  <c r="AM46" i="60"/>
  <c r="AK50" i="60"/>
  <c r="R56" i="60"/>
  <c r="AR56" i="60"/>
  <c r="S58" i="60"/>
  <c r="K61" i="60"/>
  <c r="F65" i="60"/>
  <c r="O42" i="59"/>
  <c r="U43" i="59"/>
  <c r="AR45" i="59"/>
  <c r="AK50" i="59"/>
  <c r="T50" i="59"/>
  <c r="F50" i="59"/>
  <c r="AI50" i="59"/>
  <c r="S50" i="59"/>
  <c r="E50" i="59"/>
  <c r="AR50" i="59"/>
  <c r="Z50" i="59"/>
  <c r="I50" i="59"/>
  <c r="AP50" i="59"/>
  <c r="X50" i="59"/>
  <c r="G50" i="59"/>
  <c r="AQ51" i="59"/>
  <c r="W51" i="59"/>
  <c r="F51" i="59"/>
  <c r="AN51" i="59"/>
  <c r="V51" i="59"/>
  <c r="E51" i="59"/>
  <c r="AR51" i="59"/>
  <c r="S51" i="59"/>
  <c r="AL51" i="59"/>
  <c r="P51" i="59"/>
  <c r="AE51" i="59"/>
  <c r="K52" i="59"/>
  <c r="AQ52" i="59"/>
  <c r="I56" i="59"/>
  <c r="AA56" i="59"/>
  <c r="M59" i="59"/>
  <c r="AO59" i="59"/>
  <c r="Z60" i="59"/>
  <c r="N61" i="59"/>
  <c r="AM61" i="59"/>
  <c r="R62" i="59"/>
  <c r="AT62" i="59"/>
  <c r="P64" i="59"/>
  <c r="AD65" i="59"/>
  <c r="AA65" i="59"/>
  <c r="AE65" i="59"/>
  <c r="Q65" i="59"/>
  <c r="AS65" i="59"/>
  <c r="V42" i="60"/>
  <c r="J43" i="60"/>
  <c r="AN43" i="60"/>
  <c r="L45" i="60"/>
  <c r="AJ45" i="60"/>
  <c r="AL50" i="60"/>
  <c r="AE53" i="60"/>
  <c r="S56" i="60"/>
  <c r="AS56" i="60"/>
  <c r="T58" i="60"/>
  <c r="AL61" i="60"/>
  <c r="X64" i="60"/>
  <c r="Q65" i="60"/>
  <c r="AU65" i="60"/>
  <c r="P42" i="59"/>
  <c r="AF43" i="59"/>
  <c r="N45" i="59"/>
  <c r="AS45" i="59"/>
  <c r="AA47" i="59"/>
  <c r="O48" i="59"/>
  <c r="AK49" i="59"/>
  <c r="P49" i="59"/>
  <c r="AH49" i="59"/>
  <c r="O49" i="59"/>
  <c r="AL49" i="59"/>
  <c r="M49" i="59"/>
  <c r="AF49" i="59"/>
  <c r="K49" i="59"/>
  <c r="AA49" i="59"/>
  <c r="H50" i="59"/>
  <c r="AD50" i="59"/>
  <c r="H51" i="59"/>
  <c r="AF51" i="59"/>
  <c r="L52" i="59"/>
  <c r="AS52" i="59"/>
  <c r="J56" i="59"/>
  <c r="P59" i="59"/>
  <c r="AP59" i="59"/>
  <c r="O61" i="59"/>
  <c r="V62" i="59"/>
  <c r="R64" i="59"/>
  <c r="K65" i="59"/>
  <c r="AT65" i="59"/>
  <c r="L43" i="60"/>
  <c r="AP43" i="60"/>
  <c r="M45" i="60"/>
  <c r="AK45" i="60"/>
  <c r="AS50" i="60"/>
  <c r="AG52" i="60"/>
  <c r="P52" i="60"/>
  <c r="AU52" i="60"/>
  <c r="AE52" i="60"/>
  <c r="O52" i="60"/>
  <c r="AQ52" i="60"/>
  <c r="Y52" i="60"/>
  <c r="I52" i="60"/>
  <c r="AP52" i="60"/>
  <c r="X52" i="60"/>
  <c r="G52" i="60"/>
  <c r="AO52" i="60"/>
  <c r="W52" i="60"/>
  <c r="F52" i="60"/>
  <c r="AN52" i="60"/>
  <c r="V52" i="60"/>
  <c r="E52" i="60"/>
  <c r="AI52" i="60"/>
  <c r="T56" i="60"/>
  <c r="AT56" i="60"/>
  <c r="U58" i="60"/>
  <c r="AM61" i="60"/>
  <c r="R65" i="60"/>
  <c r="AI60" i="59"/>
  <c r="AG60" i="59"/>
  <c r="J60" i="59"/>
  <c r="AF60" i="59"/>
  <c r="I60" i="59"/>
  <c r="AN60" i="59"/>
  <c r="AA60" i="59"/>
  <c r="K60" i="59"/>
  <c r="AH42" i="60"/>
  <c r="M42" i="60"/>
  <c r="AG42" i="60"/>
  <c r="L42" i="60"/>
  <c r="AA42" i="60"/>
  <c r="H42" i="60"/>
  <c r="Y42" i="60"/>
  <c r="AU42" i="60"/>
  <c r="X42" i="60"/>
  <c r="Z56" i="60"/>
  <c r="AL62" i="59"/>
  <c r="P62" i="59"/>
  <c r="AH62" i="59"/>
  <c r="O62" i="59"/>
  <c r="AF62" i="59"/>
  <c r="J62" i="59"/>
  <c r="AD62" i="59"/>
  <c r="E62" i="59"/>
  <c r="I42" i="60"/>
  <c r="AE56" i="60"/>
  <c r="AO64" i="60"/>
  <c r="R64" i="60"/>
  <c r="AL64" i="60"/>
  <c r="P64" i="60"/>
  <c r="AG64" i="60"/>
  <c r="O64" i="60"/>
  <c r="AM64" i="60"/>
  <c r="L64" i="60"/>
  <c r="AF64" i="60"/>
  <c r="K64" i="60"/>
  <c r="AE64" i="60"/>
  <c r="J64" i="60"/>
  <c r="AD64" i="60"/>
  <c r="H64" i="60"/>
  <c r="AS53" i="60"/>
  <c r="AU53" i="60"/>
  <c r="L62" i="59"/>
  <c r="AP56" i="59"/>
  <c r="AU56" i="59"/>
  <c r="AH56" i="59"/>
  <c r="S56" i="59"/>
  <c r="F56" i="59"/>
  <c r="AT56" i="59"/>
  <c r="AG56" i="59"/>
  <c r="R56" i="59"/>
  <c r="E56" i="59"/>
  <c r="AE56" i="59"/>
  <c r="M56" i="59"/>
  <c r="AR56" i="59"/>
  <c r="Z56" i="59"/>
  <c r="K56" i="59"/>
  <c r="AL65" i="60"/>
  <c r="AT42" i="60"/>
  <c r="AU48" i="59"/>
  <c r="AQ60" i="59"/>
  <c r="U46" i="60"/>
  <c r="T46" i="60"/>
  <c r="AU46" i="60"/>
  <c r="AT46" i="60"/>
  <c r="S50" i="60"/>
  <c r="R50" i="60"/>
  <c r="T50" i="60"/>
  <c r="Q50" i="60"/>
  <c r="P50" i="60"/>
  <c r="O50" i="60"/>
  <c r="AP56" i="60"/>
  <c r="AQ56" i="60"/>
  <c r="AA56" i="60"/>
  <c r="N56" i="60"/>
  <c r="AN56" i="60"/>
  <c r="Y56" i="60"/>
  <c r="L56" i="60"/>
  <c r="AM56" i="60"/>
  <c r="X56" i="60"/>
  <c r="K56" i="60"/>
  <c r="AI56" i="60"/>
  <c r="Q56" i="60"/>
  <c r="AH56" i="60"/>
  <c r="O56" i="60"/>
  <c r="AG56" i="60"/>
  <c r="M56" i="60"/>
  <c r="AF56" i="60"/>
  <c r="J56" i="60"/>
  <c r="AJ47" i="59"/>
  <c r="AR47" i="59"/>
  <c r="P47" i="59"/>
  <c r="AP47" i="59"/>
  <c r="N47" i="59"/>
  <c r="Y47" i="59"/>
  <c r="Q47" i="59"/>
  <c r="AO47" i="59"/>
  <c r="L60" i="59"/>
  <c r="AT60" i="59"/>
  <c r="AN42" i="60"/>
  <c r="Q46" i="60"/>
  <c r="AG59" i="59"/>
  <c r="O59" i="59"/>
  <c r="AF59" i="59"/>
  <c r="N59" i="59"/>
  <c r="AU59" i="59"/>
  <c r="Z59" i="59"/>
  <c r="E59" i="59"/>
  <c r="AR59" i="59"/>
  <c r="X59" i="59"/>
  <c r="AD59" i="59"/>
  <c r="N60" i="59"/>
  <c r="AU60" i="59"/>
  <c r="F62" i="59"/>
  <c r="AN62" i="59"/>
  <c r="F64" i="59"/>
  <c r="AG64" i="59"/>
  <c r="AO42" i="60"/>
  <c r="R46" i="60"/>
  <c r="E64" i="60"/>
  <c r="AS64" i="60"/>
  <c r="K47" i="59"/>
  <c r="AU47" i="59"/>
  <c r="G59" i="59"/>
  <c r="O60" i="59"/>
  <c r="G64" i="59"/>
  <c r="AM64" i="59"/>
  <c r="K42" i="60"/>
  <c r="S46" i="60"/>
  <c r="AE50" i="60"/>
  <c r="R53" i="60"/>
  <c r="G56" i="60"/>
  <c r="AK56" i="60"/>
  <c r="AN61" i="60"/>
  <c r="W61" i="60"/>
  <c r="U61" i="60"/>
  <c r="AS61" i="60"/>
  <c r="L61" i="60"/>
  <c r="Z61" i="60"/>
  <c r="Y61" i="60"/>
  <c r="X61" i="60"/>
  <c r="V61" i="60"/>
  <c r="M64" i="60"/>
  <c r="AF52" i="59"/>
  <c r="J59" i="59"/>
  <c r="AK59" i="59"/>
  <c r="Q60" i="59"/>
  <c r="AS61" i="59"/>
  <c r="Z61" i="59"/>
  <c r="I61" i="59"/>
  <c r="AQ61" i="59"/>
  <c r="X61" i="59"/>
  <c r="G61" i="59"/>
  <c r="AH61" i="59"/>
  <c r="M61" i="59"/>
  <c r="AE61" i="59"/>
  <c r="J61" i="59"/>
  <c r="AG61" i="59"/>
  <c r="M62" i="59"/>
  <c r="AQ62" i="59"/>
  <c r="H64" i="59"/>
  <c r="AQ64" i="59"/>
  <c r="AP65" i="60"/>
  <c r="AS65" i="60"/>
  <c r="Y65" i="60"/>
  <c r="J65" i="60"/>
  <c r="AQ65" i="60"/>
  <c r="W65" i="60"/>
  <c r="H65" i="60"/>
  <c r="AM65" i="60"/>
  <c r="V65" i="60"/>
  <c r="G65" i="60"/>
  <c r="AJ65" i="60"/>
  <c r="M65" i="60"/>
  <c r="AI65" i="60"/>
  <c r="L65" i="60"/>
  <c r="AH65" i="60"/>
  <c r="K65" i="60"/>
  <c r="AG65" i="60"/>
  <c r="I65" i="60"/>
  <c r="AM52" i="59"/>
  <c r="G56" i="59"/>
  <c r="X56" i="59"/>
  <c r="AL59" i="59"/>
  <c r="W60" i="59"/>
  <c r="E61" i="59"/>
  <c r="AJ61" i="59"/>
  <c r="N62" i="59"/>
  <c r="AR62" i="59"/>
  <c r="AT64" i="59"/>
  <c r="AL46" i="60"/>
  <c r="AI50" i="60"/>
  <c r="I56" i="60"/>
  <c r="Q58" i="60"/>
  <c r="Q64" i="60"/>
  <c r="AR65" i="60"/>
  <c r="I52" i="59"/>
  <c r="AP52" i="59"/>
  <c r="Q42" i="60"/>
  <c r="AM43" i="60"/>
  <c r="AH45" i="60"/>
  <c r="AD53" i="60"/>
  <c r="W64" i="60"/>
  <c r="M45" i="59"/>
  <c r="Z47" i="59"/>
  <c r="N48" i="59"/>
  <c r="Q42" i="59"/>
  <c r="O45" i="59"/>
  <c r="AT45" i="59"/>
  <c r="AE47" i="59"/>
  <c r="P48" i="59"/>
  <c r="K50" i="59"/>
  <c r="AE50" i="59"/>
  <c r="I51" i="59"/>
  <c r="AG51" i="59"/>
  <c r="M52" i="59"/>
  <c r="AG53" i="59"/>
  <c r="AN53" i="59"/>
  <c r="N53" i="59"/>
  <c r="AL53" i="59"/>
  <c r="L53" i="59"/>
  <c r="AA53" i="59"/>
  <c r="X53" i="59"/>
  <c r="AF53" i="59"/>
  <c r="L56" i="59"/>
  <c r="AI56" i="59"/>
  <c r="Q59" i="59"/>
  <c r="AQ59" i="59"/>
  <c r="AO60" i="59"/>
  <c r="P61" i="59"/>
  <c r="AP61" i="59"/>
  <c r="X62" i="59"/>
  <c r="X64" i="59"/>
  <c r="L65" i="59"/>
  <c r="AU65" i="59"/>
  <c r="Z42" i="60"/>
  <c r="N43" i="60"/>
  <c r="AQ43" i="60"/>
  <c r="N45" i="60"/>
  <c r="AL45" i="60"/>
  <c r="AT50" i="60"/>
  <c r="U56" i="60"/>
  <c r="AU56" i="60"/>
  <c r="V58" i="60"/>
  <c r="AO61" i="60"/>
  <c r="Z64" i="60"/>
  <c r="S65" i="60"/>
  <c r="AF66" i="60"/>
  <c r="AD66" i="60"/>
  <c r="X66" i="60"/>
  <c r="AE66" i="60"/>
  <c r="W66" i="60"/>
  <c r="V66" i="60"/>
  <c r="M66" i="60"/>
  <c r="T42" i="59"/>
  <c r="AP44" i="59"/>
  <c r="AK44" i="59"/>
  <c r="AT44" i="59"/>
  <c r="AF44" i="59"/>
  <c r="Q44" i="59"/>
  <c r="AR44" i="59"/>
  <c r="AA44" i="59"/>
  <c r="N44" i="59"/>
  <c r="U44" i="59"/>
  <c r="AM44" i="59"/>
  <c r="P45" i="59"/>
  <c r="AJ46" i="59"/>
  <c r="AP46" i="59"/>
  <c r="M46" i="59"/>
  <c r="AO46" i="59"/>
  <c r="L46" i="59"/>
  <c r="AQ46" i="59"/>
  <c r="J46" i="59"/>
  <c r="AF46" i="59"/>
  <c r="AS46" i="59"/>
  <c r="AF47" i="59"/>
  <c r="Z48" i="59"/>
  <c r="G49" i="59"/>
  <c r="AG49" i="59"/>
  <c r="L50" i="59"/>
  <c r="AG50" i="59"/>
  <c r="J51" i="59"/>
  <c r="AI51" i="59"/>
  <c r="V52" i="59"/>
  <c r="H53" i="59"/>
  <c r="AO53" i="59"/>
  <c r="AU55" i="59"/>
  <c r="AF55" i="59"/>
  <c r="J55" i="59"/>
  <c r="AE55" i="59"/>
  <c r="I55" i="59"/>
  <c r="AQ55" i="59"/>
  <c r="O55" i="59"/>
  <c r="AO55" i="59"/>
  <c r="M55" i="59"/>
  <c r="AM55" i="59"/>
  <c r="N56" i="59"/>
  <c r="AJ56" i="59"/>
  <c r="AI58" i="59"/>
  <c r="AS58" i="59"/>
  <c r="Q58" i="59"/>
  <c r="AR58" i="59"/>
  <c r="P58" i="59"/>
  <c r="Z58" i="59"/>
  <c r="X58" i="59"/>
  <c r="AP58" i="59"/>
  <c r="U59" i="59"/>
  <c r="AS59" i="59"/>
  <c r="AP60" i="59"/>
  <c r="Q61" i="59"/>
  <c r="AT61" i="59"/>
  <c r="Z62" i="59"/>
  <c r="AA64" i="59"/>
  <c r="M65" i="59"/>
  <c r="AD42" i="60"/>
  <c r="O43" i="60"/>
  <c r="AR43" i="60"/>
  <c r="O45" i="60"/>
  <c r="AO45" i="60"/>
  <c r="AF49" i="60"/>
  <c r="AU50" i="60"/>
  <c r="K52" i="60"/>
  <c r="AK52" i="60"/>
  <c r="V56" i="60"/>
  <c r="AP61" i="60"/>
  <c r="AA64" i="60"/>
  <c r="T65" i="60"/>
  <c r="F66" i="60"/>
  <c r="AK51" i="60"/>
  <c r="P51" i="60"/>
  <c r="AU51" i="60"/>
  <c r="F51" i="60"/>
  <c r="AH54" i="59"/>
  <c r="AL54" i="59"/>
  <c r="L54" i="59"/>
  <c r="AG54" i="59"/>
  <c r="K54" i="59"/>
  <c r="AA54" i="59"/>
  <c r="AP63" i="59"/>
  <c r="AI63" i="59"/>
  <c r="T63" i="59"/>
  <c r="G63" i="59"/>
  <c r="AU63" i="59"/>
  <c r="AH63" i="59"/>
  <c r="S63" i="59"/>
  <c r="F63" i="59"/>
  <c r="U63" i="59"/>
  <c r="AL63" i="59"/>
  <c r="AP44" i="60"/>
  <c r="AO44" i="60"/>
  <c r="Z44" i="60"/>
  <c r="M44" i="60"/>
  <c r="AN44" i="60"/>
  <c r="Y44" i="60"/>
  <c r="L44" i="60"/>
  <c r="S44" i="60"/>
  <c r="AJ44" i="60"/>
  <c r="Q51" i="60"/>
  <c r="AT48" i="60"/>
  <c r="AE48" i="60"/>
  <c r="V48" i="60"/>
  <c r="T54" i="60"/>
  <c r="AD54" i="60"/>
  <c r="AA54" i="60"/>
  <c r="F44" i="59"/>
  <c r="I54" i="59"/>
  <c r="AM54" i="59"/>
  <c r="H63" i="59"/>
  <c r="W63" i="59"/>
  <c r="AN63" i="59"/>
  <c r="F44" i="60"/>
  <c r="U44" i="60"/>
  <c r="AL44" i="60"/>
  <c r="AM47" i="60"/>
  <c r="U47" i="60"/>
  <c r="T47" i="60"/>
  <c r="T48" i="60"/>
  <c r="S51" i="60"/>
  <c r="AE54" i="60"/>
  <c r="S59" i="60"/>
  <c r="U59" i="60"/>
  <c r="U66" i="59"/>
  <c r="AL66" i="59"/>
  <c r="Q63" i="60"/>
  <c r="AF63" i="60"/>
  <c r="AS63" i="60"/>
  <c r="F66" i="59"/>
  <c r="V66" i="59"/>
  <c r="W41" i="60"/>
  <c r="AA62" i="60"/>
  <c r="E63" i="60"/>
  <c r="R63" i="60"/>
  <c r="AG63" i="60"/>
  <c r="AT63" i="60"/>
  <c r="I62" i="60"/>
  <c r="AG62" i="60"/>
  <c r="G63" i="60"/>
  <c r="T63" i="60"/>
  <c r="AI63" i="60"/>
  <c r="F30" i="59"/>
  <c r="G30" i="59"/>
  <c r="U5" i="59" s="1"/>
  <c r="AF48" i="60"/>
  <c r="AJ49" i="60"/>
  <c r="E54" i="60"/>
  <c r="O55" i="60"/>
  <c r="AQ55" i="60"/>
  <c r="AG59" i="60"/>
  <c r="AN60" i="60"/>
  <c r="K41" i="60"/>
  <c r="AN46" i="60"/>
  <c r="Z46" i="60"/>
  <c r="N46" i="60"/>
  <c r="AP46" i="60"/>
  <c r="AA46" i="60"/>
  <c r="M46" i="60"/>
  <c r="AS46" i="60"/>
  <c r="AE46" i="60"/>
  <c r="O46" i="60"/>
  <c r="Y46" i="60"/>
  <c r="X46" i="60"/>
  <c r="AR46" i="60"/>
  <c r="AD46" i="60"/>
  <c r="L46" i="60"/>
  <c r="AQ46" i="60"/>
  <c r="K46" i="60"/>
  <c r="AO46" i="60"/>
  <c r="J46" i="60"/>
  <c r="V46" i="60"/>
  <c r="AG48" i="60"/>
  <c r="AK49" i="60"/>
  <c r="O41" i="60"/>
  <c r="AN41" i="60"/>
  <c r="H46" i="60"/>
  <c r="AH46" i="60"/>
  <c r="P48" i="60"/>
  <c r="AM48" i="60"/>
  <c r="T49" i="60"/>
  <c r="O53" i="60"/>
  <c r="AJ53" i="60"/>
  <c r="Q54" i="60"/>
  <c r="AT54" i="60"/>
  <c r="AA55" i="60"/>
  <c r="Q59" i="60"/>
  <c r="AM59" i="60"/>
  <c r="T60" i="60"/>
  <c r="P41" i="60"/>
  <c r="AO41" i="60"/>
  <c r="I46" i="60"/>
  <c r="AI46" i="60"/>
  <c r="O47" i="60"/>
  <c r="AK47" i="60"/>
  <c r="Q48" i="60"/>
  <c r="AS48" i="60"/>
  <c r="U49" i="60"/>
  <c r="AJ50" i="60"/>
  <c r="V50" i="60"/>
  <c r="J50" i="60"/>
  <c r="AN50" i="60"/>
  <c r="Y50" i="60"/>
  <c r="L50" i="60"/>
  <c r="AR50" i="60"/>
  <c r="AD50" i="60"/>
  <c r="N50" i="60"/>
  <c r="AP50" i="60"/>
  <c r="X50" i="60"/>
  <c r="H50" i="60"/>
  <c r="AQ50" i="60"/>
  <c r="AA50" i="60"/>
  <c r="M50" i="60"/>
  <c r="Z50" i="60"/>
  <c r="K50" i="60"/>
  <c r="AO50" i="60"/>
  <c r="I50" i="60"/>
  <c r="AM50" i="60"/>
  <c r="W50" i="60"/>
  <c r="AF50" i="60"/>
  <c r="G51" i="60"/>
  <c r="AI51" i="60"/>
  <c r="P53" i="60"/>
  <c r="AR53" i="60"/>
  <c r="S54" i="60"/>
  <c r="AU54" i="60"/>
  <c r="AD55" i="60"/>
  <c r="I58" i="60"/>
  <c r="AK58" i="60"/>
  <c r="R59" i="60"/>
  <c r="AU59" i="60"/>
  <c r="U60" i="60"/>
  <c r="AU66" i="60"/>
  <c r="AI66" i="60"/>
  <c r="U66" i="60"/>
  <c r="I66" i="60"/>
  <c r="AT66" i="60"/>
  <c r="AH66" i="60"/>
  <c r="T66" i="60"/>
  <c r="H66" i="60"/>
  <c r="AS66" i="60"/>
  <c r="AG66" i="60"/>
  <c r="S66" i="60"/>
  <c r="G66" i="60"/>
  <c r="AR66" i="60"/>
  <c r="AA66" i="60"/>
  <c r="L66" i="60"/>
  <c r="AQ66" i="60"/>
  <c r="Z66" i="60"/>
  <c r="K66" i="60"/>
  <c r="AP66" i="60"/>
  <c r="Y66" i="60"/>
  <c r="J66" i="60"/>
  <c r="AO66" i="60"/>
  <c r="R66" i="60"/>
  <c r="AL66" i="60"/>
  <c r="O66" i="60"/>
  <c r="AN66" i="60"/>
  <c r="Q66" i="60"/>
  <c r="AM66" i="60"/>
  <c r="P66" i="60"/>
  <c r="AK66" i="60"/>
  <c r="N66" i="60"/>
  <c r="U6" i="60"/>
  <c r="Q41" i="60"/>
  <c r="P46" i="60"/>
  <c r="AJ46" i="60"/>
  <c r="P47" i="60"/>
  <c r="R48" i="60"/>
  <c r="E50" i="60"/>
  <c r="AG50" i="60"/>
  <c r="N51" i="60"/>
  <c r="Q53" i="60"/>
  <c r="AE55" i="60"/>
  <c r="P58" i="60"/>
  <c r="J61" i="60"/>
  <c r="E66" i="60"/>
  <c r="AM60" i="60"/>
  <c r="Y60" i="60"/>
  <c r="M60" i="60"/>
  <c r="AL60" i="60"/>
  <c r="W60" i="60"/>
  <c r="J60" i="60"/>
  <c r="AK60" i="60"/>
  <c r="V60" i="60"/>
  <c r="AU60" i="60"/>
  <c r="AF60" i="60"/>
  <c r="O60" i="60"/>
  <c r="AT60" i="60"/>
  <c r="AE60" i="60"/>
  <c r="N60" i="60"/>
  <c r="AS60" i="60"/>
  <c r="AD60" i="60"/>
  <c r="L60" i="60"/>
  <c r="AR60" i="60"/>
  <c r="AA60" i="60"/>
  <c r="K60" i="60"/>
  <c r="AQ60" i="60"/>
  <c r="Z60" i="60"/>
  <c r="I60" i="60"/>
  <c r="AG60" i="60"/>
  <c r="AK55" i="60"/>
  <c r="W55" i="60"/>
  <c r="K55" i="60"/>
  <c r="AU55" i="60"/>
  <c r="AH55" i="60"/>
  <c r="S55" i="60"/>
  <c r="F55" i="60"/>
  <c r="AP55" i="60"/>
  <c r="Z55" i="60"/>
  <c r="L55" i="60"/>
  <c r="AN55" i="60"/>
  <c r="X55" i="60"/>
  <c r="V55" i="60"/>
  <c r="U55" i="60"/>
  <c r="AO55" i="60"/>
  <c r="Y55" i="60"/>
  <c r="J55" i="60"/>
  <c r="I55" i="60"/>
  <c r="AM55" i="60"/>
  <c r="H55" i="60"/>
  <c r="AL55" i="60"/>
  <c r="G55" i="60"/>
  <c r="G30" i="60"/>
  <c r="U5" i="60" s="1"/>
  <c r="AQ49" i="60"/>
  <c r="AE49" i="60"/>
  <c r="Q49" i="60"/>
  <c r="E49" i="60"/>
  <c r="AR49" i="60"/>
  <c r="AD49" i="60"/>
  <c r="O49" i="60"/>
  <c r="AS49" i="60"/>
  <c r="AA49" i="60"/>
  <c r="M49" i="60"/>
  <c r="AO49" i="60"/>
  <c r="K49" i="60"/>
  <c r="X49" i="60"/>
  <c r="AP49" i="60"/>
  <c r="Z49" i="60"/>
  <c r="L49" i="60"/>
  <c r="Y49" i="60"/>
  <c r="AN49" i="60"/>
  <c r="J49" i="60"/>
  <c r="AM49" i="60"/>
  <c r="W49" i="60"/>
  <c r="I49" i="60"/>
  <c r="AG49" i="60"/>
  <c r="E55" i="60"/>
  <c r="AG55" i="60"/>
  <c r="E60" i="60"/>
  <c r="AH60" i="60"/>
  <c r="F49" i="60"/>
  <c r="AH49" i="60"/>
  <c r="M55" i="60"/>
  <c r="AI55" i="60"/>
  <c r="F60" i="60"/>
  <c r="AI60" i="60"/>
  <c r="AM41" i="60"/>
  <c r="AI41" i="60"/>
  <c r="U41" i="60"/>
  <c r="I41" i="60"/>
  <c r="AK41" i="60"/>
  <c r="V41" i="60"/>
  <c r="H41" i="60"/>
  <c r="AJ41" i="60"/>
  <c r="T41" i="60"/>
  <c r="G41" i="60"/>
  <c r="AH41" i="60"/>
  <c r="S41" i="60"/>
  <c r="F41" i="60"/>
  <c r="AU41" i="60"/>
  <c r="AG41" i="60"/>
  <c r="R41" i="60"/>
  <c r="E41" i="60"/>
  <c r="Z41" i="60"/>
  <c r="AT41" i="60"/>
  <c r="G49" i="60"/>
  <c r="AI49" i="60"/>
  <c r="AR54" i="60"/>
  <c r="AF54" i="60"/>
  <c r="R54" i="60"/>
  <c r="F54" i="60"/>
  <c r="AL54" i="60"/>
  <c r="W54" i="60"/>
  <c r="J54" i="60"/>
  <c r="AP54" i="60"/>
  <c r="Z54" i="60"/>
  <c r="L54" i="60"/>
  <c r="AN54" i="60"/>
  <c r="H54" i="60"/>
  <c r="AO54" i="60"/>
  <c r="Y54" i="60"/>
  <c r="K54" i="60"/>
  <c r="X54" i="60"/>
  <c r="I54" i="60"/>
  <c r="AM54" i="60"/>
  <c r="V54" i="60"/>
  <c r="AK54" i="60"/>
  <c r="U54" i="60"/>
  <c r="G54" i="60"/>
  <c r="AG54" i="60"/>
  <c r="N55" i="60"/>
  <c r="AJ55" i="60"/>
  <c r="AT59" i="60"/>
  <c r="AH59" i="60"/>
  <c r="T59" i="60"/>
  <c r="H59" i="60"/>
  <c r="AP59" i="60"/>
  <c r="AA59" i="60"/>
  <c r="N59" i="60"/>
  <c r="AS59" i="60"/>
  <c r="AE59" i="60"/>
  <c r="O59" i="60"/>
  <c r="AQ59" i="60"/>
  <c r="AR59" i="60"/>
  <c r="AD59" i="60"/>
  <c r="M59" i="60"/>
  <c r="Z59" i="60"/>
  <c r="L59" i="60"/>
  <c r="AO59" i="60"/>
  <c r="Y59" i="60"/>
  <c r="K59" i="60"/>
  <c r="AN59" i="60"/>
  <c r="X59" i="60"/>
  <c r="J59" i="60"/>
  <c r="AF59" i="60"/>
  <c r="G60" i="60"/>
  <c r="AJ60" i="60"/>
  <c r="J41" i="60"/>
  <c r="AA41" i="60"/>
  <c r="AL48" i="60"/>
  <c r="X48" i="60"/>
  <c r="L48" i="60"/>
  <c r="AU48" i="60"/>
  <c r="AH48" i="60"/>
  <c r="S48" i="60"/>
  <c r="F48" i="60"/>
  <c r="AR48" i="60"/>
  <c r="AD48" i="60"/>
  <c r="N48" i="60"/>
  <c r="AO48" i="60"/>
  <c r="AN48" i="60"/>
  <c r="AQ48" i="60"/>
  <c r="AA48" i="60"/>
  <c r="M48" i="60"/>
  <c r="AP48" i="60"/>
  <c r="Z48" i="60"/>
  <c r="K48" i="60"/>
  <c r="Y48" i="60"/>
  <c r="J48" i="60"/>
  <c r="W48" i="60"/>
  <c r="I48" i="60"/>
  <c r="H49" i="60"/>
  <c r="AH54" i="60"/>
  <c r="E59" i="60"/>
  <c r="H60" i="60"/>
  <c r="AD41" i="60"/>
  <c r="E48" i="60"/>
  <c r="N49" i="60"/>
  <c r="AM53" i="60"/>
  <c r="Y53" i="60"/>
  <c r="M53" i="60"/>
  <c r="AP53" i="60"/>
  <c r="AA53" i="60"/>
  <c r="N53" i="60"/>
  <c r="AQ53" i="60"/>
  <c r="Z53" i="60"/>
  <c r="K53" i="60"/>
  <c r="W53" i="60"/>
  <c r="H53" i="60"/>
  <c r="AK53" i="60"/>
  <c r="AO53" i="60"/>
  <c r="X53" i="60"/>
  <c r="J53" i="60"/>
  <c r="AN53" i="60"/>
  <c r="I53" i="60"/>
  <c r="AL53" i="60"/>
  <c r="V53" i="60"/>
  <c r="U53" i="60"/>
  <c r="G53" i="60"/>
  <c r="AF53" i="60"/>
  <c r="M54" i="60"/>
  <c r="AI54" i="60"/>
  <c r="P55" i="60"/>
  <c r="AR55" i="60"/>
  <c r="F59" i="60"/>
  <c r="AI59" i="60"/>
  <c r="P60" i="60"/>
  <c r="AO60" i="60"/>
  <c r="L41" i="60"/>
  <c r="AE41" i="60"/>
  <c r="E46" i="60"/>
  <c r="W46" i="60"/>
  <c r="AS47" i="60"/>
  <c r="AG47" i="60"/>
  <c r="S47" i="60"/>
  <c r="G47" i="60"/>
  <c r="AL47" i="60"/>
  <c r="W47" i="60"/>
  <c r="J47" i="60"/>
  <c r="AR47" i="60"/>
  <c r="AD47" i="60"/>
  <c r="N47" i="60"/>
  <c r="AP47" i="60"/>
  <c r="AO47" i="60"/>
  <c r="AQ47" i="60"/>
  <c r="AA47" i="60"/>
  <c r="M47" i="60"/>
  <c r="Z47" i="60"/>
  <c r="L47" i="60"/>
  <c r="Y47" i="60"/>
  <c r="K47" i="60"/>
  <c r="X47" i="60"/>
  <c r="I47" i="60"/>
  <c r="AF47" i="60"/>
  <c r="G48" i="60"/>
  <c r="AI48" i="60"/>
  <c r="P49" i="60"/>
  <c r="AL49" i="60"/>
  <c r="E53" i="60"/>
  <c r="AG53" i="60"/>
  <c r="N54" i="60"/>
  <c r="AJ54" i="60"/>
  <c r="Q55" i="60"/>
  <c r="AS55" i="60"/>
  <c r="AO58" i="60"/>
  <c r="AA58" i="60"/>
  <c r="O58" i="60"/>
  <c r="AT58" i="60"/>
  <c r="AG58" i="60"/>
  <c r="R58" i="60"/>
  <c r="E58" i="60"/>
  <c r="AS58" i="60"/>
  <c r="AE58" i="60"/>
  <c r="N58" i="60"/>
  <c r="AR58" i="60"/>
  <c r="AD58" i="60"/>
  <c r="M58" i="60"/>
  <c r="AQ58" i="60"/>
  <c r="Z58" i="60"/>
  <c r="L58" i="60"/>
  <c r="AP58" i="60"/>
  <c r="Y58" i="60"/>
  <c r="K58" i="60"/>
  <c r="AN58" i="60"/>
  <c r="X58" i="60"/>
  <c r="J58" i="60"/>
  <c r="AF58" i="60"/>
  <c r="G59" i="60"/>
  <c r="AJ59" i="60"/>
  <c r="Q60" i="60"/>
  <c r="AP60" i="60"/>
  <c r="M41" i="60"/>
  <c r="AF41" i="60"/>
  <c r="F46" i="60"/>
  <c r="AF46" i="60"/>
  <c r="E47" i="60"/>
  <c r="AH47" i="60"/>
  <c r="H48" i="60"/>
  <c r="AJ48" i="60"/>
  <c r="R49" i="60"/>
  <c r="AT49" i="60"/>
  <c r="AO51" i="60"/>
  <c r="AA51" i="60"/>
  <c r="O51" i="60"/>
  <c r="AJ51" i="60"/>
  <c r="U51" i="60"/>
  <c r="H51" i="60"/>
  <c r="AR51" i="60"/>
  <c r="AD51" i="60"/>
  <c r="M51" i="60"/>
  <c r="AP51" i="60"/>
  <c r="X51" i="60"/>
  <c r="W51" i="60"/>
  <c r="AQ51" i="60"/>
  <c r="Z51" i="60"/>
  <c r="L51" i="60"/>
  <c r="Y51" i="60"/>
  <c r="K51" i="60"/>
  <c r="AN51" i="60"/>
  <c r="J51" i="60"/>
  <c r="AM51" i="60"/>
  <c r="I51" i="60"/>
  <c r="AF51" i="60"/>
  <c r="F53" i="60"/>
  <c r="AH53" i="60"/>
  <c r="O54" i="60"/>
  <c r="AQ54" i="60"/>
  <c r="R55" i="60"/>
  <c r="AT55" i="60"/>
  <c r="F58" i="60"/>
  <c r="AH58" i="60"/>
  <c r="I59" i="60"/>
  <c r="AK59" i="60"/>
  <c r="R60" i="60"/>
  <c r="N41" i="60"/>
  <c r="AL41" i="60"/>
  <c r="G46" i="60"/>
  <c r="AG46" i="60"/>
  <c r="F47" i="60"/>
  <c r="AI47" i="60"/>
  <c r="O48" i="60"/>
  <c r="AK48" i="60"/>
  <c r="S49" i="60"/>
  <c r="AU49" i="60"/>
  <c r="U50" i="60"/>
  <c r="E51" i="60"/>
  <c r="AG51" i="60"/>
  <c r="L53" i="60"/>
  <c r="AI53" i="60"/>
  <c r="P54" i="60"/>
  <c r="AS54" i="60"/>
  <c r="T55" i="60"/>
  <c r="G58" i="60"/>
  <c r="AI58" i="60"/>
  <c r="P59" i="60"/>
  <c r="AL59" i="60"/>
  <c r="S60" i="60"/>
  <c r="AR61" i="60"/>
  <c r="AF61" i="60"/>
  <c r="R61" i="60"/>
  <c r="F61" i="60"/>
  <c r="AI61" i="60"/>
  <c r="T61" i="60"/>
  <c r="G61" i="60"/>
  <c r="AU61" i="60"/>
  <c r="AH61" i="60"/>
  <c r="S61" i="60"/>
  <c r="E61" i="60"/>
  <c r="AK61" i="60"/>
  <c r="Q61" i="60"/>
  <c r="AJ61" i="60"/>
  <c r="P61" i="60"/>
  <c r="AG61" i="60"/>
  <c r="O61" i="60"/>
  <c r="AE61" i="60"/>
  <c r="N61" i="60"/>
  <c r="AT61" i="60"/>
  <c r="AD61" i="60"/>
  <c r="M61" i="60"/>
  <c r="AA61" i="60"/>
  <c r="AJ66" i="60"/>
  <c r="S62" i="60"/>
  <c r="AR42" i="60"/>
  <c r="AF42" i="60"/>
  <c r="R42" i="60"/>
  <c r="F42" i="60"/>
  <c r="AS42" i="60"/>
  <c r="AE42" i="60"/>
  <c r="P42" i="60"/>
  <c r="C42" i="60"/>
  <c r="S42" i="60"/>
  <c r="AI42" i="60"/>
  <c r="E62" i="60"/>
  <c r="AL62" i="60"/>
  <c r="E42" i="60"/>
  <c r="T42" i="60"/>
  <c r="AJ42" i="60"/>
  <c r="E43" i="60"/>
  <c r="S43" i="60"/>
  <c r="F62" i="60"/>
  <c r="U62" i="60"/>
  <c r="AJ64" i="60"/>
  <c r="AU64" i="60"/>
  <c r="AI64" i="60"/>
  <c r="U64" i="60"/>
  <c r="I64" i="60"/>
  <c r="AK64" i="60"/>
  <c r="T64" i="60"/>
  <c r="G64" i="60"/>
  <c r="AH64" i="60"/>
  <c r="S64" i="60"/>
  <c r="F64" i="60"/>
  <c r="V64" i="60"/>
  <c r="AN64" i="60"/>
  <c r="AK62" i="60"/>
  <c r="W62" i="60"/>
  <c r="K62" i="60"/>
  <c r="AR62" i="60"/>
  <c r="AE62" i="60"/>
  <c r="P62" i="60"/>
  <c r="AQ62" i="60"/>
  <c r="AD62" i="60"/>
  <c r="O62" i="60"/>
  <c r="AJ62" i="60"/>
  <c r="AK43" i="60"/>
  <c r="W43" i="60"/>
  <c r="K43" i="60"/>
  <c r="AO43" i="60"/>
  <c r="Z43" i="60"/>
  <c r="M43" i="60"/>
  <c r="R43" i="60"/>
  <c r="AH43" i="60"/>
  <c r="T62" i="60"/>
  <c r="G42" i="60"/>
  <c r="U42" i="60"/>
  <c r="AK42" i="60"/>
  <c r="F43" i="60"/>
  <c r="T43" i="60"/>
  <c r="AJ43" i="60"/>
  <c r="G62" i="60"/>
  <c r="V62" i="60"/>
  <c r="AN62" i="60"/>
  <c r="AU45" i="60"/>
  <c r="AI45" i="60"/>
  <c r="U45" i="60"/>
  <c r="I45" i="60"/>
  <c r="Q45" i="60"/>
  <c r="AF45" i="60"/>
  <c r="AS45" i="60"/>
  <c r="AT52" i="60"/>
  <c r="AH52" i="60"/>
  <c r="T52" i="60"/>
  <c r="H52" i="60"/>
  <c r="Q52" i="60"/>
  <c r="AF52" i="60"/>
  <c r="AS52" i="60"/>
  <c r="P44" i="60"/>
  <c r="AD44" i="60"/>
  <c r="P56" i="60"/>
  <c r="AD56" i="60"/>
  <c r="P63" i="60"/>
  <c r="AD63" i="60"/>
  <c r="N65" i="60"/>
  <c r="Z65" i="60"/>
  <c r="AN65" i="60"/>
  <c r="O65" i="60"/>
  <c r="AA65" i="60"/>
  <c r="AO65" i="60"/>
  <c r="P65" i="60"/>
  <c r="AD65" i="60"/>
  <c r="AM41" i="59"/>
  <c r="AO41" i="59"/>
  <c r="Z41" i="59"/>
  <c r="N41" i="59"/>
  <c r="AS41" i="59"/>
  <c r="AE41" i="59"/>
  <c r="P41" i="59"/>
  <c r="C41" i="59"/>
  <c r="AR41" i="59"/>
  <c r="AD41" i="59"/>
  <c r="O41" i="59"/>
  <c r="AQ41" i="59"/>
  <c r="AA41" i="59"/>
  <c r="M41" i="59"/>
  <c r="AN41" i="59"/>
  <c r="K41" i="59"/>
  <c r="AL41" i="59"/>
  <c r="J41" i="59"/>
  <c r="AP41" i="59"/>
  <c r="Y41" i="59"/>
  <c r="L41" i="59"/>
  <c r="X41" i="59"/>
  <c r="E41" i="59"/>
  <c r="F41" i="59"/>
  <c r="AG41" i="59"/>
  <c r="G41" i="59"/>
  <c r="AH41" i="59"/>
  <c r="H41" i="59"/>
  <c r="I41" i="59"/>
  <c r="AJ43" i="59"/>
  <c r="AK41" i="59"/>
  <c r="G43" i="59"/>
  <c r="AL43" i="59"/>
  <c r="R41" i="59"/>
  <c r="AT41" i="59"/>
  <c r="O43" i="59"/>
  <c r="S41" i="59"/>
  <c r="W41" i="59"/>
  <c r="AF41" i="59"/>
  <c r="AI41" i="59"/>
  <c r="AK43" i="59"/>
  <c r="W43" i="59"/>
  <c r="K43" i="59"/>
  <c r="AT43" i="59"/>
  <c r="AG43" i="59"/>
  <c r="R43" i="59"/>
  <c r="E43" i="59"/>
  <c r="AR43" i="59"/>
  <c r="AD43" i="59"/>
  <c r="N43" i="59"/>
  <c r="AQ43" i="59"/>
  <c r="AA43" i="59"/>
  <c r="M43" i="59"/>
  <c r="AP43" i="59"/>
  <c r="Z43" i="59"/>
  <c r="L43" i="59"/>
  <c r="AN43" i="59"/>
  <c r="X43" i="59"/>
  <c r="I43" i="59"/>
  <c r="AM43" i="59"/>
  <c r="V43" i="59"/>
  <c r="H43" i="59"/>
  <c r="AO43" i="59"/>
  <c r="Y43" i="59"/>
  <c r="J43" i="59"/>
  <c r="AI43" i="59"/>
  <c r="AJ41" i="59"/>
  <c r="F43" i="59"/>
  <c r="Q41" i="59"/>
  <c r="AS43" i="59"/>
  <c r="AU41" i="59"/>
  <c r="AU43" i="59"/>
  <c r="T41" i="59"/>
  <c r="Q43" i="59"/>
  <c r="U41" i="59"/>
  <c r="AR42" i="59"/>
  <c r="AF42" i="59"/>
  <c r="R42" i="59"/>
  <c r="F42" i="59"/>
  <c r="AK42" i="59"/>
  <c r="V42" i="59"/>
  <c r="I42" i="59"/>
  <c r="AS42" i="59"/>
  <c r="AD42" i="59"/>
  <c r="N42" i="59"/>
  <c r="AQ42" i="59"/>
  <c r="AA42" i="59"/>
  <c r="M42" i="59"/>
  <c r="AP42" i="59"/>
  <c r="Z42" i="59"/>
  <c r="L42" i="59"/>
  <c r="AN42" i="59"/>
  <c r="X42" i="59"/>
  <c r="J42" i="59"/>
  <c r="AM42" i="59"/>
  <c r="W42" i="59"/>
  <c r="H42" i="59"/>
  <c r="AO42" i="59"/>
  <c r="Y42" i="59"/>
  <c r="K42" i="59"/>
  <c r="AI42" i="59"/>
  <c r="S43" i="59"/>
  <c r="V41" i="59"/>
  <c r="E42" i="59"/>
  <c r="AJ42" i="59"/>
  <c r="T43" i="59"/>
  <c r="AU45" i="59"/>
  <c r="AI45" i="59"/>
  <c r="U45" i="59"/>
  <c r="I45" i="59"/>
  <c r="AL45" i="59"/>
  <c r="W45" i="59"/>
  <c r="J45" i="59"/>
  <c r="AH45" i="59"/>
  <c r="AI46" i="59"/>
  <c r="AL48" i="59"/>
  <c r="X48" i="59"/>
  <c r="L48" i="59"/>
  <c r="AN48" i="59"/>
  <c r="Y48" i="59"/>
  <c r="K48" i="59"/>
  <c r="R48" i="59"/>
  <c r="AH48" i="59"/>
  <c r="AN65" i="59"/>
  <c r="Z65" i="59"/>
  <c r="N65" i="59"/>
  <c r="AK65" i="59"/>
  <c r="V65" i="59"/>
  <c r="I65" i="59"/>
  <c r="AJ65" i="59"/>
  <c r="U65" i="59"/>
  <c r="H65" i="59"/>
  <c r="S65" i="59"/>
  <c r="AL65" i="59"/>
  <c r="E45" i="59"/>
  <c r="S45" i="59"/>
  <c r="AJ45" i="59"/>
  <c r="E46" i="59"/>
  <c r="T46" i="59"/>
  <c r="E47" i="59"/>
  <c r="T47" i="59"/>
  <c r="E48" i="59"/>
  <c r="S48" i="59"/>
  <c r="AI48" i="59"/>
  <c r="AQ49" i="59"/>
  <c r="AE49" i="59"/>
  <c r="Q49" i="59"/>
  <c r="E49" i="59"/>
  <c r="AJ49" i="59"/>
  <c r="U49" i="59"/>
  <c r="H49" i="59"/>
  <c r="S49" i="59"/>
  <c r="AI49" i="59"/>
  <c r="AO51" i="59"/>
  <c r="AA51" i="59"/>
  <c r="O51" i="59"/>
  <c r="AP51" i="59"/>
  <c r="Z51" i="59"/>
  <c r="M51" i="59"/>
  <c r="R51" i="59"/>
  <c r="AH51" i="59"/>
  <c r="Q52" i="59"/>
  <c r="Q53" i="59"/>
  <c r="Q54" i="59"/>
  <c r="Q55" i="59"/>
  <c r="AG55" i="59"/>
  <c r="E58" i="59"/>
  <c r="S58" i="59"/>
  <c r="AT59" i="59"/>
  <c r="AH59" i="59"/>
  <c r="T59" i="59"/>
  <c r="H59" i="59"/>
  <c r="AI59" i="59"/>
  <c r="S59" i="59"/>
  <c r="F59" i="59"/>
  <c r="R59" i="59"/>
  <c r="AJ59" i="59"/>
  <c r="E60" i="59"/>
  <c r="S60" i="59"/>
  <c r="AR61" i="59"/>
  <c r="AF61" i="59"/>
  <c r="R61" i="59"/>
  <c r="F61" i="59"/>
  <c r="AN61" i="59"/>
  <c r="Y61" i="59"/>
  <c r="L61" i="59"/>
  <c r="S61" i="59"/>
  <c r="AI61" i="59"/>
  <c r="AK62" i="59"/>
  <c r="W62" i="59"/>
  <c r="K62" i="59"/>
  <c r="AJ62" i="59"/>
  <c r="U62" i="59"/>
  <c r="H62" i="59"/>
  <c r="AI62" i="59"/>
  <c r="T62" i="59"/>
  <c r="G62" i="59"/>
  <c r="S62" i="59"/>
  <c r="AM62" i="59"/>
  <c r="Q64" i="59"/>
  <c r="E65" i="59"/>
  <c r="T65" i="59"/>
  <c r="AM65" i="59"/>
  <c r="R45" i="59"/>
  <c r="AN46" i="59"/>
  <c r="Z46" i="59"/>
  <c r="N46" i="59"/>
  <c r="AU46" i="59"/>
  <c r="AH46" i="59"/>
  <c r="S46" i="59"/>
  <c r="F46" i="59"/>
  <c r="R46" i="59"/>
  <c r="AS47" i="59"/>
  <c r="AG47" i="59"/>
  <c r="S47" i="59"/>
  <c r="G47" i="59"/>
  <c r="AQ47" i="59"/>
  <c r="AD47" i="59"/>
  <c r="O47" i="59"/>
  <c r="R47" i="59"/>
  <c r="AI47" i="59"/>
  <c r="AO58" i="59"/>
  <c r="AA58" i="59"/>
  <c r="O58" i="59"/>
  <c r="AL58" i="59"/>
  <c r="W58" i="59"/>
  <c r="J58" i="59"/>
  <c r="R58" i="59"/>
  <c r="AH58" i="59"/>
  <c r="AM60" i="59"/>
  <c r="Y60" i="59"/>
  <c r="M60" i="59"/>
  <c r="AR60" i="59"/>
  <c r="AE60" i="59"/>
  <c r="P60" i="59"/>
  <c r="R60" i="59"/>
  <c r="AH60" i="59"/>
  <c r="F45" i="59"/>
  <c r="T45" i="59"/>
  <c r="AK45" i="59"/>
  <c r="G46" i="59"/>
  <c r="U46" i="59"/>
  <c r="AK46" i="59"/>
  <c r="F47" i="59"/>
  <c r="U47" i="59"/>
  <c r="AK47" i="59"/>
  <c r="F48" i="59"/>
  <c r="T48" i="59"/>
  <c r="AJ48" i="59"/>
  <c r="AT52" i="59"/>
  <c r="AH52" i="59"/>
  <c r="T52" i="59"/>
  <c r="H52" i="59"/>
  <c r="AL52" i="59"/>
  <c r="W52" i="59"/>
  <c r="J52" i="59"/>
  <c r="R52" i="59"/>
  <c r="AI52" i="59"/>
  <c r="AM53" i="59"/>
  <c r="Y53" i="59"/>
  <c r="M53" i="59"/>
  <c r="AU53" i="59"/>
  <c r="AH53" i="59"/>
  <c r="S53" i="59"/>
  <c r="F53" i="59"/>
  <c r="R53" i="59"/>
  <c r="AI53" i="59"/>
  <c r="AR54" i="59"/>
  <c r="AF54" i="59"/>
  <c r="R54" i="59"/>
  <c r="F54" i="59"/>
  <c r="AQ54" i="59"/>
  <c r="AD54" i="59"/>
  <c r="O54" i="59"/>
  <c r="S54" i="59"/>
  <c r="AI54" i="59"/>
  <c r="AK55" i="59"/>
  <c r="W55" i="59"/>
  <c r="K55" i="59"/>
  <c r="AN55" i="59"/>
  <c r="Y55" i="59"/>
  <c r="L55" i="59"/>
  <c r="R55" i="59"/>
  <c r="AH55" i="59"/>
  <c r="F58" i="59"/>
  <c r="T58" i="59"/>
  <c r="AJ58" i="59"/>
  <c r="F60" i="59"/>
  <c r="T60" i="59"/>
  <c r="AJ60" i="59"/>
  <c r="F65" i="59"/>
  <c r="W65" i="59"/>
  <c r="AO65" i="59"/>
  <c r="G45" i="59"/>
  <c r="V45" i="59"/>
  <c r="AM45" i="59"/>
  <c r="H46" i="59"/>
  <c r="V46" i="59"/>
  <c r="AL46" i="59"/>
  <c r="H47" i="59"/>
  <c r="V47" i="59"/>
  <c r="AL47" i="59"/>
  <c r="G48" i="59"/>
  <c r="U48" i="59"/>
  <c r="AK48" i="59"/>
  <c r="E52" i="59"/>
  <c r="S52" i="59"/>
  <c r="AJ52" i="59"/>
  <c r="E53" i="59"/>
  <c r="T53" i="59"/>
  <c r="AJ53" i="59"/>
  <c r="E54" i="59"/>
  <c r="T54" i="59"/>
  <c r="AJ54" i="59"/>
  <c r="E55" i="59"/>
  <c r="S55" i="59"/>
  <c r="AI55" i="59"/>
  <c r="G58" i="59"/>
  <c r="U58" i="59"/>
  <c r="AK58" i="59"/>
  <c r="G60" i="59"/>
  <c r="U60" i="59"/>
  <c r="AK60" i="59"/>
  <c r="AU64" i="59"/>
  <c r="AI64" i="59"/>
  <c r="U64" i="59"/>
  <c r="I64" i="59"/>
  <c r="AO64" i="59"/>
  <c r="Z64" i="59"/>
  <c r="M64" i="59"/>
  <c r="AN64" i="59"/>
  <c r="Y64" i="59"/>
  <c r="L64" i="59"/>
  <c r="S64" i="59"/>
  <c r="AK64" i="59"/>
  <c r="G65" i="59"/>
  <c r="X65" i="59"/>
  <c r="AP65" i="59"/>
  <c r="H45" i="59"/>
  <c r="X45" i="59"/>
  <c r="AN45" i="59"/>
  <c r="I46" i="59"/>
  <c r="W46" i="59"/>
  <c r="AM46" i="59"/>
  <c r="I47" i="59"/>
  <c r="W47" i="59"/>
  <c r="AM47" i="59"/>
  <c r="H48" i="59"/>
  <c r="V48" i="59"/>
  <c r="AM48" i="59"/>
  <c r="I49" i="59"/>
  <c r="W49" i="59"/>
  <c r="AM49" i="59"/>
  <c r="G51" i="59"/>
  <c r="U51" i="59"/>
  <c r="AK51" i="59"/>
  <c r="F52" i="59"/>
  <c r="U52" i="59"/>
  <c r="AK52" i="59"/>
  <c r="G53" i="59"/>
  <c r="U53" i="59"/>
  <c r="AK53" i="59"/>
  <c r="G54" i="59"/>
  <c r="U54" i="59"/>
  <c r="AK54" i="59"/>
  <c r="F55" i="59"/>
  <c r="T55" i="59"/>
  <c r="AJ55" i="59"/>
  <c r="H58" i="59"/>
  <c r="V58" i="59"/>
  <c r="AM58" i="59"/>
  <c r="I59" i="59"/>
  <c r="W59" i="59"/>
  <c r="AM59" i="59"/>
  <c r="H60" i="59"/>
  <c r="V60" i="59"/>
  <c r="AL60" i="59"/>
  <c r="H61" i="59"/>
  <c r="V61" i="59"/>
  <c r="AL61" i="59"/>
  <c r="I62" i="59"/>
  <c r="Y62" i="59"/>
  <c r="AP62" i="59"/>
  <c r="E64" i="59"/>
  <c r="T64" i="59"/>
  <c r="AL64" i="59"/>
  <c r="J65" i="59"/>
  <c r="Y65" i="59"/>
  <c r="AQ65" i="59"/>
  <c r="AS66" i="59"/>
  <c r="AG66" i="59"/>
  <c r="S66" i="59"/>
  <c r="G66" i="59"/>
  <c r="Q66" i="59"/>
  <c r="AF66" i="59"/>
  <c r="AT66" i="59"/>
  <c r="AJ50" i="59"/>
  <c r="V50" i="59"/>
  <c r="J50" i="59"/>
  <c r="Q50" i="59"/>
  <c r="AF50" i="59"/>
  <c r="AS50" i="59"/>
  <c r="E66" i="59"/>
  <c r="R66" i="59"/>
  <c r="AH66" i="59"/>
  <c r="AU66" i="59"/>
  <c r="P44" i="59"/>
  <c r="AD44" i="59"/>
  <c r="P56" i="59"/>
  <c r="AD56" i="59"/>
  <c r="P63" i="59"/>
  <c r="AD63" i="59"/>
  <c r="AU70" i="58"/>
  <c r="AT70" i="58"/>
  <c r="AS70" i="58"/>
  <c r="AR70" i="58"/>
  <c r="AQ70" i="58"/>
  <c r="AP70" i="58"/>
  <c r="AO70" i="58"/>
  <c r="AN70" i="58"/>
  <c r="AM70" i="58"/>
  <c r="AL70" i="58"/>
  <c r="AK70" i="58"/>
  <c r="AJ70" i="58"/>
  <c r="AI70" i="58"/>
  <c r="AH70" i="58"/>
  <c r="AG70" i="58"/>
  <c r="AF70" i="58"/>
  <c r="AE70" i="58"/>
  <c r="AD70" i="58"/>
  <c r="AA70" i="58"/>
  <c r="Z70" i="58"/>
  <c r="Y70" i="58"/>
  <c r="X70" i="58"/>
  <c r="W70" i="58"/>
  <c r="V70" i="58"/>
  <c r="U70" i="58"/>
  <c r="T70" i="58"/>
  <c r="S70" i="58"/>
  <c r="R70" i="58"/>
  <c r="Q70" i="58"/>
  <c r="P70" i="58"/>
  <c r="O70" i="58"/>
  <c r="N70" i="58"/>
  <c r="M70" i="58"/>
  <c r="L70" i="58"/>
  <c r="K70" i="58"/>
  <c r="J70" i="58"/>
  <c r="I70" i="58"/>
  <c r="H70" i="58"/>
  <c r="G70" i="58"/>
  <c r="F70" i="58"/>
  <c r="E70" i="58"/>
  <c r="AU69" i="58"/>
  <c r="AT69" i="58"/>
  <c r="AS69" i="58"/>
  <c r="AR69" i="58"/>
  <c r="AQ69" i="58"/>
  <c r="AP69" i="58"/>
  <c r="AO69" i="58"/>
  <c r="AN69" i="58"/>
  <c r="AM69" i="58"/>
  <c r="AL69" i="58"/>
  <c r="AK69" i="58"/>
  <c r="AJ69" i="58"/>
  <c r="AI69" i="58"/>
  <c r="AH69" i="58"/>
  <c r="AG69" i="58"/>
  <c r="AF69" i="58"/>
  <c r="AE69" i="58"/>
  <c r="AD69" i="58"/>
  <c r="AA69" i="58"/>
  <c r="Z69" i="58"/>
  <c r="Y69" i="58"/>
  <c r="X69" i="58"/>
  <c r="W69" i="58"/>
  <c r="V69" i="58"/>
  <c r="U69" i="58"/>
  <c r="T69" i="58"/>
  <c r="S69" i="58"/>
  <c r="R69" i="58"/>
  <c r="Q69" i="58"/>
  <c r="P69" i="58"/>
  <c r="O69" i="58"/>
  <c r="N69" i="58"/>
  <c r="M69" i="58"/>
  <c r="L69" i="58"/>
  <c r="K69" i="58"/>
  <c r="J69" i="58"/>
  <c r="I69" i="58"/>
  <c r="H69" i="58"/>
  <c r="G69" i="58"/>
  <c r="F69" i="58"/>
  <c r="E69" i="58"/>
  <c r="AU68" i="58"/>
  <c r="AT68" i="58"/>
  <c r="AS68" i="58"/>
  <c r="AR68" i="58"/>
  <c r="AQ68" i="58"/>
  <c r="AP68" i="58"/>
  <c r="AO68" i="58"/>
  <c r="AN68" i="58"/>
  <c r="AM68" i="58"/>
  <c r="AL68" i="58"/>
  <c r="AK68" i="58"/>
  <c r="AJ68" i="58"/>
  <c r="AI68" i="58"/>
  <c r="AH68" i="58"/>
  <c r="AG68" i="58"/>
  <c r="AF68" i="58"/>
  <c r="AE68" i="58"/>
  <c r="AD68" i="58"/>
  <c r="AA68" i="58"/>
  <c r="Z68" i="58"/>
  <c r="Y68" i="58"/>
  <c r="X68" i="58"/>
  <c r="W68" i="58"/>
  <c r="V68" i="58"/>
  <c r="U68" i="58"/>
  <c r="T68" i="58"/>
  <c r="S68" i="58"/>
  <c r="R68" i="58"/>
  <c r="Q68" i="58"/>
  <c r="P68" i="58"/>
  <c r="O68" i="58"/>
  <c r="N68" i="58"/>
  <c r="M68" i="58"/>
  <c r="L68" i="58"/>
  <c r="K68" i="58"/>
  <c r="J68" i="58"/>
  <c r="I68" i="58"/>
  <c r="H68" i="58"/>
  <c r="G68" i="58"/>
  <c r="F68" i="58"/>
  <c r="E68" i="58"/>
  <c r="AU67" i="58"/>
  <c r="AT67" i="58"/>
  <c r="AS67" i="58"/>
  <c r="AR67" i="58"/>
  <c r="AQ67" i="58"/>
  <c r="AP67" i="58"/>
  <c r="AO67" i="58"/>
  <c r="AN67" i="58"/>
  <c r="AM67" i="58"/>
  <c r="AL67" i="58"/>
  <c r="AK67" i="58"/>
  <c r="AJ67" i="58"/>
  <c r="AI67" i="58"/>
  <c r="AH67" i="58"/>
  <c r="AG67" i="58"/>
  <c r="AF67" i="58"/>
  <c r="AE67" i="58"/>
  <c r="AD67" i="58"/>
  <c r="AA67" i="58"/>
  <c r="Z67" i="58"/>
  <c r="Y67" i="58"/>
  <c r="X67" i="58"/>
  <c r="W67" i="58"/>
  <c r="V67" i="58"/>
  <c r="U67" i="58"/>
  <c r="T67" i="58"/>
  <c r="S67" i="58"/>
  <c r="R67" i="58"/>
  <c r="Q67" i="58"/>
  <c r="P67" i="58"/>
  <c r="O67" i="58"/>
  <c r="N67" i="58"/>
  <c r="M67" i="58"/>
  <c r="L67" i="58"/>
  <c r="K67" i="58"/>
  <c r="J67" i="58"/>
  <c r="I67" i="58"/>
  <c r="H67" i="58"/>
  <c r="G67" i="58"/>
  <c r="F67" i="58"/>
  <c r="E67" i="58"/>
  <c r="AL66" i="58"/>
  <c r="AU65" i="58"/>
  <c r="X63" i="58"/>
  <c r="AK62" i="58"/>
  <c r="AG61" i="58"/>
  <c r="AE60" i="58"/>
  <c r="AR57" i="58"/>
  <c r="AQ57" i="58"/>
  <c r="AP57" i="58"/>
  <c r="AO57" i="58"/>
  <c r="AG57" i="58"/>
  <c r="AD57" i="58"/>
  <c r="AA57" i="58"/>
  <c r="Z57" i="58"/>
  <c r="Y57" i="58"/>
  <c r="Q57" i="58"/>
  <c r="N57" i="58"/>
  <c r="M57" i="58"/>
  <c r="K57" i="58"/>
  <c r="J57" i="58"/>
  <c r="AU57" i="58"/>
  <c r="AH53" i="58"/>
  <c r="M52" i="58"/>
  <c r="AU51" i="58"/>
  <c r="AD50" i="58"/>
  <c r="T49" i="58"/>
  <c r="Q48" i="58"/>
  <c r="AH47" i="58"/>
  <c r="AO46" i="58"/>
  <c r="AU45" i="58"/>
  <c r="AN44" i="58"/>
  <c r="AH42" i="58"/>
  <c r="D41" i="58"/>
  <c r="AL41" i="58" s="1"/>
  <c r="AU30" i="58"/>
  <c r="AT30" i="58"/>
  <c r="AS30" i="58"/>
  <c r="AR30" i="58"/>
  <c r="AQ30" i="58"/>
  <c r="AP30" i="58"/>
  <c r="AO30" i="58"/>
  <c r="AN30" i="58"/>
  <c r="AM30" i="58"/>
  <c r="AL30" i="58"/>
  <c r="AK30" i="58"/>
  <c r="AJ30" i="58"/>
  <c r="AA30" i="58"/>
  <c r="Z30" i="58"/>
  <c r="Y30" i="58"/>
  <c r="X30" i="58"/>
  <c r="W30" i="58"/>
  <c r="V30" i="58"/>
  <c r="U30" i="58"/>
  <c r="T30" i="58"/>
  <c r="S30" i="58"/>
  <c r="R30" i="58"/>
  <c r="Q30" i="58"/>
  <c r="P30" i="58"/>
  <c r="O30" i="58"/>
  <c r="N30" i="58"/>
  <c r="M30" i="58"/>
  <c r="L30" i="58"/>
  <c r="K30" i="58"/>
  <c r="J30" i="58"/>
  <c r="I30" i="58"/>
  <c r="H30" i="58"/>
  <c r="E30" i="58"/>
  <c r="AD29" i="58"/>
  <c r="AB29" i="58"/>
  <c r="G29" i="58"/>
  <c r="F29" i="58"/>
  <c r="C29" i="58"/>
  <c r="AD28" i="58"/>
  <c r="AB28" i="58"/>
  <c r="G28" i="58"/>
  <c r="F28" i="58"/>
  <c r="C28" i="58"/>
  <c r="AD27" i="58"/>
  <c r="AB27" i="58"/>
  <c r="G27" i="58"/>
  <c r="F27" i="58"/>
  <c r="C27" i="58"/>
  <c r="AD26" i="58"/>
  <c r="AB26" i="58"/>
  <c r="G26" i="58"/>
  <c r="F26" i="58"/>
  <c r="C26" i="58"/>
  <c r="AD25" i="58"/>
  <c r="AB25" i="58"/>
  <c r="G25" i="58"/>
  <c r="F25" i="58"/>
  <c r="C25" i="58"/>
  <c r="AD24" i="58"/>
  <c r="AB24" i="58"/>
  <c r="G24" i="58"/>
  <c r="F24" i="58"/>
  <c r="C24" i="58"/>
  <c r="AD23" i="58"/>
  <c r="AB23" i="58"/>
  <c r="G23" i="58"/>
  <c r="F23" i="58"/>
  <c r="C23" i="58"/>
  <c r="AD22" i="58"/>
  <c r="AB22" i="58"/>
  <c r="G22" i="58"/>
  <c r="F22" i="58"/>
  <c r="C22" i="58"/>
  <c r="AD21" i="58"/>
  <c r="AB21" i="58"/>
  <c r="G21" i="58"/>
  <c r="F21" i="58"/>
  <c r="C21" i="58"/>
  <c r="AD20" i="58"/>
  <c r="AB20" i="58"/>
  <c r="G20" i="58"/>
  <c r="F20" i="58"/>
  <c r="C20" i="58"/>
  <c r="AD19" i="58"/>
  <c r="AB19" i="58"/>
  <c r="G19" i="58"/>
  <c r="F19" i="58"/>
  <c r="C19" i="58"/>
  <c r="AD18" i="58"/>
  <c r="AB18" i="58"/>
  <c r="G18" i="58"/>
  <c r="F18" i="58"/>
  <c r="C18" i="58"/>
  <c r="AD17" i="58"/>
  <c r="AB17" i="58"/>
  <c r="G17" i="58"/>
  <c r="F17" i="58"/>
  <c r="C17" i="58"/>
  <c r="AD16" i="58"/>
  <c r="AB16" i="58"/>
  <c r="G16" i="58"/>
  <c r="F16" i="58"/>
  <c r="C16" i="58"/>
  <c r="AD15" i="58"/>
  <c r="AB15" i="58"/>
  <c r="G15" i="58"/>
  <c r="F15" i="58"/>
  <c r="C15" i="58"/>
  <c r="AD14" i="58"/>
  <c r="AB14" i="58"/>
  <c r="G14" i="58"/>
  <c r="F14" i="58"/>
  <c r="C14" i="58"/>
  <c r="AD13" i="58"/>
  <c r="AB13" i="58"/>
  <c r="G13" i="58"/>
  <c r="F13" i="58"/>
  <c r="C13" i="58"/>
  <c r="AD12" i="58"/>
  <c r="AB12" i="58"/>
  <c r="G12" i="58"/>
  <c r="F12" i="58"/>
  <c r="C12" i="58"/>
  <c r="AD11" i="58"/>
  <c r="AB11" i="58"/>
  <c r="G11" i="58"/>
  <c r="F11" i="58"/>
  <c r="C11" i="58"/>
  <c r="AD10" i="58"/>
  <c r="AB10" i="58"/>
  <c r="G10" i="58"/>
  <c r="F10" i="58"/>
  <c r="C10" i="58"/>
  <c r="V6" i="58"/>
  <c r="U6" i="58"/>
  <c r="T6" i="58"/>
  <c r="V5" i="58"/>
  <c r="T5" i="58"/>
  <c r="AN32" i="55"/>
  <c r="AN37" i="55"/>
  <c r="AN45" i="55"/>
  <c r="AN36" i="55"/>
  <c r="AN46" i="55"/>
  <c r="AN33" i="55"/>
  <c r="AN38" i="55"/>
  <c r="AN39" i="55"/>
  <c r="AN41" i="55"/>
  <c r="AN42" i="55"/>
  <c r="AN44" i="55"/>
  <c r="AN47" i="55"/>
  <c r="AN48" i="55"/>
  <c r="AN49" i="55"/>
  <c r="AN50" i="55"/>
  <c r="AN34" i="55"/>
  <c r="AN35" i="55"/>
  <c r="AN40" i="55"/>
  <c r="AN43" i="55"/>
  <c r="AN51" i="55"/>
  <c r="AN52" i="55"/>
  <c r="AN53" i="55"/>
  <c r="AN54" i="55"/>
  <c r="AN2" i="55"/>
  <c r="AN24" i="55"/>
  <c r="AN15" i="55"/>
  <c r="AN17" i="55"/>
  <c r="AN19" i="55"/>
  <c r="AN12" i="55"/>
  <c r="AN5" i="55"/>
  <c r="AN6" i="55"/>
  <c r="AN10" i="55"/>
  <c r="AN11" i="55"/>
  <c r="AN7" i="55"/>
  <c r="AN13" i="55"/>
  <c r="AN4" i="55"/>
  <c r="AN9" i="55"/>
  <c r="AN8" i="55"/>
  <c r="AN18" i="55"/>
  <c r="AN22" i="55"/>
  <c r="AN14" i="55"/>
  <c r="AN20" i="55"/>
  <c r="AN21" i="55"/>
  <c r="AN16" i="55"/>
  <c r="AN23" i="55"/>
  <c r="AN3" i="55"/>
  <c r="AU70" i="35"/>
  <c r="AT70" i="35"/>
  <c r="AS70" i="35"/>
  <c r="AR70" i="35"/>
  <c r="AQ70" i="35"/>
  <c r="AP70" i="35"/>
  <c r="AO70" i="35"/>
  <c r="AN70" i="35"/>
  <c r="AM70" i="35"/>
  <c r="AL70" i="35"/>
  <c r="AK70" i="35"/>
  <c r="AJ70" i="35"/>
  <c r="AI70" i="35"/>
  <c r="AH70" i="35"/>
  <c r="AG70" i="35"/>
  <c r="AF70" i="35"/>
  <c r="AE70" i="35"/>
  <c r="AD70" i="35"/>
  <c r="AA70" i="35"/>
  <c r="Z70" i="35"/>
  <c r="Y70" i="35"/>
  <c r="X70" i="35"/>
  <c r="W70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AU69" i="35"/>
  <c r="AT69" i="35"/>
  <c r="AS69" i="35"/>
  <c r="AR69" i="35"/>
  <c r="AQ69" i="35"/>
  <c r="AP69" i="35"/>
  <c r="AO69" i="35"/>
  <c r="AN69" i="35"/>
  <c r="AM69" i="35"/>
  <c r="AL69" i="35"/>
  <c r="AK69" i="35"/>
  <c r="AJ69" i="35"/>
  <c r="AI69" i="35"/>
  <c r="AH69" i="35"/>
  <c r="AG69" i="35"/>
  <c r="AF69" i="35"/>
  <c r="AE69" i="35"/>
  <c r="AD69" i="35"/>
  <c r="AA69" i="35"/>
  <c r="Z69" i="35"/>
  <c r="Y69" i="35"/>
  <c r="X69" i="35"/>
  <c r="W69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AU68" i="35"/>
  <c r="AT68" i="35"/>
  <c r="AS68" i="35"/>
  <c r="AR68" i="35"/>
  <c r="AQ68" i="35"/>
  <c r="AP68" i="35"/>
  <c r="AO68" i="35"/>
  <c r="AN68" i="35"/>
  <c r="AM68" i="35"/>
  <c r="AL68" i="35"/>
  <c r="AK68" i="35"/>
  <c r="AJ68" i="35"/>
  <c r="AI68" i="35"/>
  <c r="AH68" i="35"/>
  <c r="AG68" i="35"/>
  <c r="AF68" i="35"/>
  <c r="AE68" i="35"/>
  <c r="AD68" i="35"/>
  <c r="AA68" i="35"/>
  <c r="Z68" i="35"/>
  <c r="Y68" i="35"/>
  <c r="X68" i="35"/>
  <c r="W68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AU67" i="35"/>
  <c r="AT67" i="35"/>
  <c r="AS67" i="35"/>
  <c r="AR67" i="35"/>
  <c r="AQ67" i="35"/>
  <c r="AP67" i="35"/>
  <c r="AO67" i="35"/>
  <c r="AN67" i="35"/>
  <c r="AM67" i="35"/>
  <c r="AL67" i="35"/>
  <c r="AK67" i="35"/>
  <c r="AJ67" i="35"/>
  <c r="AI67" i="35"/>
  <c r="AH67" i="35"/>
  <c r="AG67" i="35"/>
  <c r="AF67" i="35"/>
  <c r="AE67" i="35"/>
  <c r="AD67" i="35"/>
  <c r="AA67" i="35"/>
  <c r="Z67" i="35"/>
  <c r="Y67" i="35"/>
  <c r="X67" i="35"/>
  <c r="W67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L66" i="35"/>
  <c r="L65" i="35"/>
  <c r="AO64" i="35"/>
  <c r="AI63" i="35"/>
  <c r="AJ60" i="35"/>
  <c r="V57" i="35"/>
  <c r="N56" i="35"/>
  <c r="J55" i="35"/>
  <c r="AA54" i="35"/>
  <c r="R53" i="35"/>
  <c r="Q48" i="35"/>
  <c r="P45" i="35"/>
  <c r="AT43" i="35"/>
  <c r="W42" i="35"/>
  <c r="D41" i="35"/>
  <c r="AP41" i="35" s="1"/>
  <c r="AU70" i="38"/>
  <c r="AT70" i="38"/>
  <c r="AS70" i="38"/>
  <c r="AR70" i="38"/>
  <c r="AQ70" i="38"/>
  <c r="AP70" i="38"/>
  <c r="AO70" i="38"/>
  <c r="AN70" i="38"/>
  <c r="AM70" i="38"/>
  <c r="AL70" i="38"/>
  <c r="AK70" i="38"/>
  <c r="AJ70" i="38"/>
  <c r="AI70" i="38"/>
  <c r="AH70" i="38"/>
  <c r="AG70" i="38"/>
  <c r="AF70" i="38"/>
  <c r="AE70" i="38"/>
  <c r="AD70" i="38"/>
  <c r="AA70" i="38"/>
  <c r="Z70" i="38"/>
  <c r="Y70" i="38"/>
  <c r="X70" i="38"/>
  <c r="W70" i="38"/>
  <c r="V70" i="38"/>
  <c r="U70" i="38"/>
  <c r="T70" i="38"/>
  <c r="S70" i="38"/>
  <c r="R70" i="38"/>
  <c r="Q70" i="38"/>
  <c r="P70" i="38"/>
  <c r="O70" i="38"/>
  <c r="N70" i="38"/>
  <c r="M70" i="38"/>
  <c r="L70" i="38"/>
  <c r="K70" i="38"/>
  <c r="J70" i="38"/>
  <c r="I70" i="38"/>
  <c r="H70" i="38"/>
  <c r="G70" i="38"/>
  <c r="F70" i="38"/>
  <c r="E70" i="38"/>
  <c r="AU69" i="38"/>
  <c r="AT69" i="38"/>
  <c r="AS69" i="38"/>
  <c r="AR69" i="38"/>
  <c r="AQ69" i="38"/>
  <c r="AP69" i="38"/>
  <c r="AO69" i="38"/>
  <c r="AN69" i="38"/>
  <c r="AM69" i="38"/>
  <c r="AL69" i="38"/>
  <c r="AK69" i="38"/>
  <c r="AJ69" i="38"/>
  <c r="AI69" i="38"/>
  <c r="AH69" i="38"/>
  <c r="AG69" i="38"/>
  <c r="AF69" i="38"/>
  <c r="AE69" i="38"/>
  <c r="AD69" i="38"/>
  <c r="AA69" i="38"/>
  <c r="Z69" i="38"/>
  <c r="Y69" i="38"/>
  <c r="X69" i="38"/>
  <c r="W69" i="38"/>
  <c r="V69" i="38"/>
  <c r="U69" i="38"/>
  <c r="T69" i="38"/>
  <c r="S69" i="38"/>
  <c r="R69" i="38"/>
  <c r="Q69" i="38"/>
  <c r="P69" i="38"/>
  <c r="O69" i="38"/>
  <c r="N69" i="38"/>
  <c r="M69" i="38"/>
  <c r="L69" i="38"/>
  <c r="K69" i="38"/>
  <c r="J69" i="38"/>
  <c r="I69" i="38"/>
  <c r="H69" i="38"/>
  <c r="G69" i="38"/>
  <c r="F69" i="38"/>
  <c r="E69" i="38"/>
  <c r="AU68" i="38"/>
  <c r="AT68" i="38"/>
  <c r="AS68" i="38"/>
  <c r="AR68" i="38"/>
  <c r="AQ68" i="38"/>
  <c r="AP68" i="38"/>
  <c r="AO68" i="38"/>
  <c r="AN68" i="38"/>
  <c r="AM68" i="38"/>
  <c r="AL68" i="38"/>
  <c r="AK68" i="38"/>
  <c r="AJ68" i="38"/>
  <c r="AI68" i="38"/>
  <c r="AH68" i="38"/>
  <c r="AG68" i="38"/>
  <c r="AF68" i="38"/>
  <c r="AE68" i="38"/>
  <c r="AD68" i="38"/>
  <c r="AA68" i="38"/>
  <c r="Z68" i="38"/>
  <c r="Y68" i="38"/>
  <c r="X68" i="38"/>
  <c r="W68" i="38"/>
  <c r="V68" i="38"/>
  <c r="U68" i="38"/>
  <c r="T68" i="38"/>
  <c r="S68" i="38"/>
  <c r="R68" i="38"/>
  <c r="Q68" i="38"/>
  <c r="P68" i="38"/>
  <c r="O68" i="38"/>
  <c r="N68" i="38"/>
  <c r="M68" i="38"/>
  <c r="L68" i="38"/>
  <c r="K68" i="38"/>
  <c r="J68" i="38"/>
  <c r="I68" i="38"/>
  <c r="H68" i="38"/>
  <c r="G68" i="38"/>
  <c r="F68" i="38"/>
  <c r="E68" i="38"/>
  <c r="AU67" i="38"/>
  <c r="AT67" i="38"/>
  <c r="AS67" i="38"/>
  <c r="AR67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A67" i="38"/>
  <c r="Z67" i="38"/>
  <c r="Y67" i="38"/>
  <c r="X67" i="38"/>
  <c r="W67" i="38"/>
  <c r="V67" i="38"/>
  <c r="U67" i="38"/>
  <c r="T67" i="38"/>
  <c r="S67" i="38"/>
  <c r="R67" i="38"/>
  <c r="Q67" i="38"/>
  <c r="P67" i="38"/>
  <c r="O67" i="38"/>
  <c r="N67" i="38"/>
  <c r="M67" i="38"/>
  <c r="L67" i="38"/>
  <c r="K67" i="38"/>
  <c r="J67" i="38"/>
  <c r="I67" i="38"/>
  <c r="H67" i="38"/>
  <c r="G67" i="38"/>
  <c r="F67" i="38"/>
  <c r="E67" i="38"/>
  <c r="AE66" i="38"/>
  <c r="J63" i="38"/>
  <c r="AQ62" i="38"/>
  <c r="AF61" i="38"/>
  <c r="T60" i="38"/>
  <c r="AD58" i="38"/>
  <c r="M56" i="38"/>
  <c r="E55" i="38"/>
  <c r="P54" i="38"/>
  <c r="K53" i="38"/>
  <c r="AD51" i="38"/>
  <c r="AG50" i="38"/>
  <c r="AD48" i="38"/>
  <c r="I47" i="38"/>
  <c r="W46" i="38"/>
  <c r="AQ44" i="38"/>
  <c r="D41" i="38"/>
  <c r="AI41" i="38" s="1"/>
  <c r="AU70" i="39"/>
  <c r="AT70" i="39"/>
  <c r="AS70" i="39"/>
  <c r="AR70" i="39"/>
  <c r="AQ70" i="39"/>
  <c r="AP70" i="39"/>
  <c r="AO70" i="39"/>
  <c r="AN70" i="39"/>
  <c r="AM70" i="39"/>
  <c r="AL70" i="39"/>
  <c r="AK70" i="39"/>
  <c r="AJ70" i="39"/>
  <c r="AI70" i="39"/>
  <c r="AH70" i="39"/>
  <c r="AG70" i="39"/>
  <c r="AF70" i="39"/>
  <c r="AE70" i="39"/>
  <c r="AD70" i="39"/>
  <c r="AA70" i="39"/>
  <c r="Z70" i="39"/>
  <c r="Y70" i="39"/>
  <c r="X70" i="39"/>
  <c r="W70" i="39"/>
  <c r="V70" i="39"/>
  <c r="U70" i="39"/>
  <c r="T70" i="39"/>
  <c r="S70" i="39"/>
  <c r="R70" i="39"/>
  <c r="Q7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AU69" i="39"/>
  <c r="AT69" i="39"/>
  <c r="AS69" i="39"/>
  <c r="AR69" i="39"/>
  <c r="AQ69" i="39"/>
  <c r="AP69" i="39"/>
  <c r="AO69" i="39"/>
  <c r="AN69" i="39"/>
  <c r="AM69" i="39"/>
  <c r="AL69" i="39"/>
  <c r="AK69" i="39"/>
  <c r="AJ69" i="39"/>
  <c r="AI69" i="39"/>
  <c r="AH69" i="39"/>
  <c r="AG69" i="39"/>
  <c r="AF69" i="39"/>
  <c r="AE69" i="39"/>
  <c r="AD69" i="39"/>
  <c r="AA69" i="39"/>
  <c r="Z69" i="39"/>
  <c r="Y69" i="39"/>
  <c r="X69" i="39"/>
  <c r="W69" i="39"/>
  <c r="V69" i="39"/>
  <c r="U69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AU68" i="39"/>
  <c r="AT68" i="39"/>
  <c r="AS68" i="39"/>
  <c r="AR68" i="39"/>
  <c r="AQ68" i="39"/>
  <c r="AP68" i="39"/>
  <c r="AO68" i="39"/>
  <c r="AN68" i="39"/>
  <c r="AM68" i="39"/>
  <c r="AL68" i="39"/>
  <c r="AK68" i="39"/>
  <c r="AJ68" i="39"/>
  <c r="AI68" i="39"/>
  <c r="AH68" i="39"/>
  <c r="AG68" i="39"/>
  <c r="AF68" i="39"/>
  <c r="AE68" i="39"/>
  <c r="AD68" i="39"/>
  <c r="AA68" i="39"/>
  <c r="Z68" i="39"/>
  <c r="Y68" i="39"/>
  <c r="X68" i="39"/>
  <c r="W68" i="39"/>
  <c r="V68" i="39"/>
  <c r="U68" i="39"/>
  <c r="T68" i="39"/>
  <c r="S68" i="39"/>
  <c r="R68" i="39"/>
  <c r="Q68" i="39"/>
  <c r="P68" i="39"/>
  <c r="O68" i="39"/>
  <c r="N68" i="39"/>
  <c r="M68" i="39"/>
  <c r="L68" i="39"/>
  <c r="K68" i="39"/>
  <c r="J68" i="39"/>
  <c r="I68" i="39"/>
  <c r="H68" i="39"/>
  <c r="G68" i="39"/>
  <c r="F68" i="39"/>
  <c r="E68" i="39"/>
  <c r="AU67" i="39"/>
  <c r="AT67" i="39"/>
  <c r="AS67" i="39"/>
  <c r="AR67" i="39"/>
  <c r="AQ67" i="39"/>
  <c r="AP67" i="39"/>
  <c r="AO67" i="39"/>
  <c r="AN67" i="39"/>
  <c r="AM67" i="39"/>
  <c r="AL67" i="39"/>
  <c r="AK67" i="39"/>
  <c r="AJ67" i="39"/>
  <c r="AI67" i="39"/>
  <c r="AH67" i="39"/>
  <c r="AG67" i="39"/>
  <c r="AF67" i="39"/>
  <c r="AE67" i="39"/>
  <c r="AD67" i="39"/>
  <c r="AA67" i="39"/>
  <c r="Z67" i="39"/>
  <c r="Y67" i="39"/>
  <c r="X67" i="39"/>
  <c r="W67" i="39"/>
  <c r="V67" i="39"/>
  <c r="U67" i="39"/>
  <c r="T67" i="39"/>
  <c r="S67" i="39"/>
  <c r="R67" i="39"/>
  <c r="Q67" i="39"/>
  <c r="P67" i="39"/>
  <c r="O67" i="39"/>
  <c r="N67" i="39"/>
  <c r="M67" i="39"/>
  <c r="L67" i="39"/>
  <c r="K67" i="39"/>
  <c r="J67" i="39"/>
  <c r="I67" i="39"/>
  <c r="H67" i="39"/>
  <c r="G67" i="39"/>
  <c r="F67" i="39"/>
  <c r="E67" i="39"/>
  <c r="J63" i="39"/>
  <c r="AH60" i="39"/>
  <c r="AO59" i="39"/>
  <c r="Y58" i="39"/>
  <c r="L57" i="39"/>
  <c r="AD55" i="39"/>
  <c r="AT53" i="39"/>
  <c r="P51" i="39"/>
  <c r="K48" i="39"/>
  <c r="R45" i="39"/>
  <c r="AE44" i="39"/>
  <c r="AE42" i="39"/>
  <c r="D41" i="39"/>
  <c r="AU70" i="40"/>
  <c r="AT70" i="40"/>
  <c r="AS70" i="40"/>
  <c r="AR70" i="40"/>
  <c r="AQ70" i="40"/>
  <c r="AP70" i="40"/>
  <c r="AO70" i="40"/>
  <c r="AN70" i="40"/>
  <c r="AM70" i="40"/>
  <c r="AL70" i="40"/>
  <c r="AK70" i="40"/>
  <c r="AJ70" i="40"/>
  <c r="AI70" i="40"/>
  <c r="AH70" i="40"/>
  <c r="AG70" i="40"/>
  <c r="AF70" i="40"/>
  <c r="AE70" i="40"/>
  <c r="AD70" i="40"/>
  <c r="AA70" i="40"/>
  <c r="Z70" i="40"/>
  <c r="Y70" i="40"/>
  <c r="X70" i="40"/>
  <c r="W70" i="40"/>
  <c r="V70" i="40"/>
  <c r="U70" i="40"/>
  <c r="T70" i="40"/>
  <c r="S70" i="40"/>
  <c r="R70" i="40"/>
  <c r="Q70" i="40"/>
  <c r="P70" i="40"/>
  <c r="O70" i="40"/>
  <c r="N70" i="40"/>
  <c r="M70" i="40"/>
  <c r="L70" i="40"/>
  <c r="K70" i="40"/>
  <c r="J70" i="40"/>
  <c r="I70" i="40"/>
  <c r="H70" i="40"/>
  <c r="G70" i="40"/>
  <c r="F70" i="40"/>
  <c r="E70" i="40"/>
  <c r="AU69" i="40"/>
  <c r="AT69" i="40"/>
  <c r="AS69" i="40"/>
  <c r="AR69" i="40"/>
  <c r="AQ69" i="40"/>
  <c r="AP69" i="40"/>
  <c r="AO69" i="40"/>
  <c r="AN69" i="40"/>
  <c r="AM69" i="40"/>
  <c r="AL69" i="40"/>
  <c r="AK69" i="40"/>
  <c r="AJ69" i="40"/>
  <c r="AI69" i="40"/>
  <c r="AH69" i="40"/>
  <c r="AG69" i="40"/>
  <c r="AF69" i="40"/>
  <c r="AE69" i="40"/>
  <c r="AD69" i="40"/>
  <c r="AA69" i="40"/>
  <c r="Z69" i="40"/>
  <c r="Y69" i="40"/>
  <c r="X69" i="40"/>
  <c r="W69" i="40"/>
  <c r="V69" i="40"/>
  <c r="U69" i="40"/>
  <c r="T69" i="40"/>
  <c r="S69" i="40"/>
  <c r="R69" i="40"/>
  <c r="Q69" i="40"/>
  <c r="P69" i="40"/>
  <c r="O69" i="40"/>
  <c r="N69" i="40"/>
  <c r="M69" i="40"/>
  <c r="L69" i="40"/>
  <c r="K69" i="40"/>
  <c r="J69" i="40"/>
  <c r="I69" i="40"/>
  <c r="H69" i="40"/>
  <c r="G69" i="40"/>
  <c r="F69" i="40"/>
  <c r="E69" i="40"/>
  <c r="AU68" i="40"/>
  <c r="AT68" i="40"/>
  <c r="AS68" i="40"/>
  <c r="AR68" i="40"/>
  <c r="AQ68" i="40"/>
  <c r="AP68" i="40"/>
  <c r="AO68" i="40"/>
  <c r="AN68" i="40"/>
  <c r="AM68" i="40"/>
  <c r="AL68" i="40"/>
  <c r="AK68" i="40"/>
  <c r="AJ68" i="40"/>
  <c r="AI68" i="40"/>
  <c r="AH68" i="40"/>
  <c r="AG68" i="40"/>
  <c r="AF68" i="40"/>
  <c r="AE68" i="40"/>
  <c r="AD68" i="40"/>
  <c r="AA68" i="40"/>
  <c r="Z68" i="40"/>
  <c r="Y68" i="40"/>
  <c r="X68" i="40"/>
  <c r="W68" i="40"/>
  <c r="V68" i="40"/>
  <c r="U68" i="40"/>
  <c r="T68" i="40"/>
  <c r="S68" i="40"/>
  <c r="R68" i="40"/>
  <c r="Q68" i="40"/>
  <c r="P68" i="40"/>
  <c r="O68" i="40"/>
  <c r="N68" i="40"/>
  <c r="M68" i="40"/>
  <c r="L68" i="40"/>
  <c r="K68" i="40"/>
  <c r="J68" i="40"/>
  <c r="I68" i="40"/>
  <c r="H68" i="40"/>
  <c r="G68" i="40"/>
  <c r="F68" i="40"/>
  <c r="E68" i="40"/>
  <c r="AU67" i="40"/>
  <c r="AT67" i="40"/>
  <c r="AS67" i="40"/>
  <c r="AR67" i="40"/>
  <c r="AQ67" i="40"/>
  <c r="AP67" i="40"/>
  <c r="AO67" i="40"/>
  <c r="AN67" i="40"/>
  <c r="AM67" i="40"/>
  <c r="AL67" i="40"/>
  <c r="AK67" i="40"/>
  <c r="AJ67" i="40"/>
  <c r="AI67" i="40"/>
  <c r="AH67" i="40"/>
  <c r="AG67" i="40"/>
  <c r="AF67" i="40"/>
  <c r="AE67" i="40"/>
  <c r="AD67" i="40"/>
  <c r="AA67" i="40"/>
  <c r="Z67" i="40"/>
  <c r="Y67" i="40"/>
  <c r="X67" i="40"/>
  <c r="W67" i="40"/>
  <c r="V67" i="40"/>
  <c r="U67" i="40"/>
  <c r="T67" i="40"/>
  <c r="S67" i="40"/>
  <c r="R67" i="40"/>
  <c r="Q67" i="40"/>
  <c r="P67" i="40"/>
  <c r="O67" i="40"/>
  <c r="N67" i="40"/>
  <c r="M67" i="40"/>
  <c r="L67" i="40"/>
  <c r="K67" i="40"/>
  <c r="J67" i="40"/>
  <c r="I67" i="40"/>
  <c r="H67" i="40"/>
  <c r="G67" i="40"/>
  <c r="F67" i="40"/>
  <c r="E67" i="40"/>
  <c r="Z66" i="40"/>
  <c r="AQ65" i="40"/>
  <c r="AK62" i="40"/>
  <c r="AR58" i="40"/>
  <c r="R57" i="40"/>
  <c r="AH53" i="40"/>
  <c r="Q50" i="40"/>
  <c r="AG43" i="40"/>
  <c r="Q42" i="40"/>
  <c r="D41" i="40"/>
  <c r="AU70" i="43"/>
  <c r="AT70" i="43"/>
  <c r="AS70" i="43"/>
  <c r="AR70" i="43"/>
  <c r="AQ70" i="43"/>
  <c r="AP70" i="43"/>
  <c r="AO70" i="43"/>
  <c r="AN70" i="43"/>
  <c r="AM70" i="43"/>
  <c r="AL70" i="43"/>
  <c r="AK70" i="43"/>
  <c r="AJ70" i="43"/>
  <c r="AI70" i="43"/>
  <c r="AH70" i="43"/>
  <c r="AG70" i="43"/>
  <c r="AF70" i="43"/>
  <c r="AE70" i="43"/>
  <c r="AD70" i="43"/>
  <c r="AA70" i="43"/>
  <c r="Z70" i="43"/>
  <c r="Y70" i="43"/>
  <c r="X70" i="43"/>
  <c r="W70" i="43"/>
  <c r="V70" i="43"/>
  <c r="U70" i="43"/>
  <c r="T70" i="43"/>
  <c r="S70" i="43"/>
  <c r="R70" i="43"/>
  <c r="Q7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AU69" i="43"/>
  <c r="AT69" i="43"/>
  <c r="AS69" i="43"/>
  <c r="AR69" i="43"/>
  <c r="AQ69" i="43"/>
  <c r="AP69" i="43"/>
  <c r="AO69" i="43"/>
  <c r="AN69" i="43"/>
  <c r="AM69" i="43"/>
  <c r="AL69" i="43"/>
  <c r="AK69" i="43"/>
  <c r="AJ69" i="43"/>
  <c r="AI69" i="43"/>
  <c r="AH69" i="43"/>
  <c r="AG69" i="43"/>
  <c r="AF69" i="43"/>
  <c r="AE69" i="43"/>
  <c r="AD69" i="43"/>
  <c r="AA69" i="43"/>
  <c r="Z69" i="43"/>
  <c r="Y69" i="43"/>
  <c r="X69" i="43"/>
  <c r="W69" i="43"/>
  <c r="V69" i="43"/>
  <c r="U69" i="43"/>
  <c r="T69" i="43"/>
  <c r="S69" i="43"/>
  <c r="R69" i="43"/>
  <c r="Q69" i="43"/>
  <c r="P69" i="43"/>
  <c r="O69" i="43"/>
  <c r="N69" i="43"/>
  <c r="M69" i="43"/>
  <c r="L69" i="43"/>
  <c r="K69" i="43"/>
  <c r="J69" i="43"/>
  <c r="I69" i="43"/>
  <c r="H69" i="43"/>
  <c r="G69" i="43"/>
  <c r="F69" i="43"/>
  <c r="E69" i="43"/>
  <c r="AU68" i="43"/>
  <c r="AT68" i="43"/>
  <c r="AS68" i="43"/>
  <c r="AR68" i="43"/>
  <c r="AQ68" i="43"/>
  <c r="AP68" i="43"/>
  <c r="AO68" i="43"/>
  <c r="AN68" i="43"/>
  <c r="AM68" i="43"/>
  <c r="AL68" i="43"/>
  <c r="AK68" i="43"/>
  <c r="AJ68" i="43"/>
  <c r="AI68" i="43"/>
  <c r="AH68" i="43"/>
  <c r="AG68" i="43"/>
  <c r="AF68" i="43"/>
  <c r="AE68" i="43"/>
  <c r="AD68" i="43"/>
  <c r="AA68" i="43"/>
  <c r="Z68" i="43"/>
  <c r="Y68" i="43"/>
  <c r="X68" i="43"/>
  <c r="W68" i="43"/>
  <c r="V68" i="43"/>
  <c r="U68" i="43"/>
  <c r="T68" i="43"/>
  <c r="S68" i="43"/>
  <c r="R68" i="43"/>
  <c r="Q68" i="43"/>
  <c r="P68" i="43"/>
  <c r="O68" i="43"/>
  <c r="N68" i="43"/>
  <c r="M68" i="43"/>
  <c r="L68" i="43"/>
  <c r="K68" i="43"/>
  <c r="J68" i="43"/>
  <c r="I68" i="43"/>
  <c r="H68" i="43"/>
  <c r="G68" i="43"/>
  <c r="F68" i="43"/>
  <c r="E68" i="43"/>
  <c r="AU67" i="43"/>
  <c r="AT67" i="43"/>
  <c r="AS67" i="43"/>
  <c r="AR67" i="43"/>
  <c r="AQ67" i="43"/>
  <c r="AP67" i="43"/>
  <c r="AO67" i="43"/>
  <c r="AN67" i="43"/>
  <c r="AM67" i="43"/>
  <c r="AL67" i="43"/>
  <c r="AK67" i="43"/>
  <c r="AJ67" i="43"/>
  <c r="AI67" i="43"/>
  <c r="AH67" i="43"/>
  <c r="AG67" i="43"/>
  <c r="AF67" i="43"/>
  <c r="AE67" i="43"/>
  <c r="AD67" i="43"/>
  <c r="AA67" i="43"/>
  <c r="Z67" i="43"/>
  <c r="Y67" i="43"/>
  <c r="X67" i="43"/>
  <c r="W67" i="43"/>
  <c r="V67" i="43"/>
  <c r="U67" i="43"/>
  <c r="T67" i="43"/>
  <c r="S67" i="43"/>
  <c r="R67" i="43"/>
  <c r="Q67" i="43"/>
  <c r="P67" i="43"/>
  <c r="O67" i="43"/>
  <c r="N67" i="43"/>
  <c r="M67" i="43"/>
  <c r="L67" i="43"/>
  <c r="K67" i="43"/>
  <c r="J67" i="43"/>
  <c r="I67" i="43"/>
  <c r="H67" i="43"/>
  <c r="G67" i="43"/>
  <c r="F67" i="43"/>
  <c r="E67" i="43"/>
  <c r="G66" i="43"/>
  <c r="AT65" i="43"/>
  <c r="W64" i="43"/>
  <c r="AJ61" i="43"/>
  <c r="AN60" i="43"/>
  <c r="V59" i="43"/>
  <c r="AI58" i="43"/>
  <c r="O57" i="43"/>
  <c r="AJ56" i="43"/>
  <c r="AJ54" i="43"/>
  <c r="AT50" i="43"/>
  <c r="J49" i="43"/>
  <c r="Q48" i="43"/>
  <c r="AR46" i="43"/>
  <c r="L45" i="43"/>
  <c r="AK44" i="43"/>
  <c r="AH43" i="43"/>
  <c r="D41" i="43"/>
  <c r="R41" i="43" s="1"/>
  <c r="AU70" i="47"/>
  <c r="AT70" i="47"/>
  <c r="AS70" i="47"/>
  <c r="AR70" i="47"/>
  <c r="AQ70" i="47"/>
  <c r="AP70" i="47"/>
  <c r="AO70" i="47"/>
  <c r="AN70" i="47"/>
  <c r="AM70" i="47"/>
  <c r="AL70" i="47"/>
  <c r="AK70" i="47"/>
  <c r="AJ70" i="47"/>
  <c r="AI70" i="47"/>
  <c r="AH70" i="47"/>
  <c r="AG70" i="47"/>
  <c r="AF70" i="47"/>
  <c r="AE70" i="47"/>
  <c r="AD70" i="47"/>
  <c r="AA70" i="47"/>
  <c r="Z70" i="47"/>
  <c r="Y70" i="47"/>
  <c r="X70" i="47"/>
  <c r="W70" i="47"/>
  <c r="V70" i="47"/>
  <c r="U70" i="47"/>
  <c r="T70" i="47"/>
  <c r="S70" i="47"/>
  <c r="R70" i="47"/>
  <c r="Q70" i="47"/>
  <c r="P70" i="47"/>
  <c r="O70" i="47"/>
  <c r="N70" i="47"/>
  <c r="M70" i="47"/>
  <c r="L70" i="47"/>
  <c r="K70" i="47"/>
  <c r="J70" i="47"/>
  <c r="I70" i="47"/>
  <c r="H70" i="47"/>
  <c r="G70" i="47"/>
  <c r="F70" i="47"/>
  <c r="E70" i="47"/>
  <c r="AU69" i="47"/>
  <c r="AT69" i="47"/>
  <c r="AS69" i="47"/>
  <c r="AR69" i="47"/>
  <c r="AQ69" i="47"/>
  <c r="AP69" i="47"/>
  <c r="AO69" i="47"/>
  <c r="AN69" i="47"/>
  <c r="AM69" i="47"/>
  <c r="AL69" i="47"/>
  <c r="AK69" i="47"/>
  <c r="AJ69" i="47"/>
  <c r="AI69" i="47"/>
  <c r="AH69" i="47"/>
  <c r="AG69" i="47"/>
  <c r="AF69" i="47"/>
  <c r="AE69" i="47"/>
  <c r="AD69" i="47"/>
  <c r="AA69" i="47"/>
  <c r="Z69" i="47"/>
  <c r="Y69" i="47"/>
  <c r="X69" i="47"/>
  <c r="W69" i="47"/>
  <c r="V69" i="47"/>
  <c r="U69" i="47"/>
  <c r="T69" i="47"/>
  <c r="S69" i="47"/>
  <c r="R69" i="47"/>
  <c r="Q69" i="47"/>
  <c r="P69" i="47"/>
  <c r="O69" i="47"/>
  <c r="N69" i="47"/>
  <c r="M69" i="47"/>
  <c r="L69" i="47"/>
  <c r="K69" i="47"/>
  <c r="J69" i="47"/>
  <c r="I69" i="47"/>
  <c r="H69" i="47"/>
  <c r="G69" i="47"/>
  <c r="F69" i="47"/>
  <c r="E69" i="47"/>
  <c r="AU68" i="47"/>
  <c r="AT68" i="47"/>
  <c r="AS68" i="47"/>
  <c r="AR68" i="47"/>
  <c r="AQ68" i="47"/>
  <c r="AP68" i="47"/>
  <c r="AO68" i="47"/>
  <c r="AN68" i="47"/>
  <c r="AM68" i="47"/>
  <c r="AL68" i="47"/>
  <c r="AK68" i="47"/>
  <c r="AJ68" i="47"/>
  <c r="AI68" i="47"/>
  <c r="AH68" i="47"/>
  <c r="AG68" i="47"/>
  <c r="AF68" i="47"/>
  <c r="AE68" i="47"/>
  <c r="AD68" i="47"/>
  <c r="AA68" i="47"/>
  <c r="Z68" i="47"/>
  <c r="Y68" i="47"/>
  <c r="X68" i="47"/>
  <c r="W68" i="47"/>
  <c r="V68" i="47"/>
  <c r="U68" i="47"/>
  <c r="T68" i="47"/>
  <c r="S68" i="47"/>
  <c r="R68" i="47"/>
  <c r="Q68" i="47"/>
  <c r="P68" i="47"/>
  <c r="O68" i="47"/>
  <c r="N68" i="47"/>
  <c r="M68" i="47"/>
  <c r="L68" i="47"/>
  <c r="K68" i="47"/>
  <c r="J68" i="47"/>
  <c r="I68" i="47"/>
  <c r="H68" i="47"/>
  <c r="G68" i="47"/>
  <c r="F68" i="47"/>
  <c r="E68" i="47"/>
  <c r="AU67" i="47"/>
  <c r="AT67" i="47"/>
  <c r="AS67" i="47"/>
  <c r="AR67" i="47"/>
  <c r="AQ67" i="47"/>
  <c r="AP67" i="47"/>
  <c r="AO67" i="47"/>
  <c r="AN67" i="47"/>
  <c r="AM67" i="47"/>
  <c r="AL67" i="47"/>
  <c r="AK67" i="47"/>
  <c r="AJ67" i="47"/>
  <c r="AI67" i="47"/>
  <c r="AH67" i="47"/>
  <c r="AG67" i="47"/>
  <c r="AF67" i="47"/>
  <c r="AE67" i="47"/>
  <c r="AD67" i="47"/>
  <c r="AA67" i="47"/>
  <c r="Z67" i="47"/>
  <c r="Y67" i="47"/>
  <c r="X67" i="47"/>
  <c r="W67" i="47"/>
  <c r="V67" i="47"/>
  <c r="U67" i="47"/>
  <c r="T67" i="47"/>
  <c r="S67" i="47"/>
  <c r="R67" i="47"/>
  <c r="Q67" i="47"/>
  <c r="P67" i="47"/>
  <c r="O67" i="47"/>
  <c r="N67" i="47"/>
  <c r="M67" i="47"/>
  <c r="L67" i="47"/>
  <c r="K67" i="47"/>
  <c r="J67" i="47"/>
  <c r="I67" i="47"/>
  <c r="H67" i="47"/>
  <c r="G67" i="47"/>
  <c r="F67" i="47"/>
  <c r="E67" i="47"/>
  <c r="L65" i="47"/>
  <c r="D63" i="47"/>
  <c r="D62" i="47"/>
  <c r="D61" i="47"/>
  <c r="D60" i="47"/>
  <c r="AU60" i="47" s="1"/>
  <c r="D59" i="47"/>
  <c r="AT59" i="47" s="1"/>
  <c r="D58" i="47"/>
  <c r="D57" i="47"/>
  <c r="AS57" i="47" s="1"/>
  <c r="D56" i="47"/>
  <c r="X56" i="47" s="1"/>
  <c r="D55" i="47"/>
  <c r="D54" i="47"/>
  <c r="AQ54" i="47" s="1"/>
  <c r="D53" i="47"/>
  <c r="D52" i="47"/>
  <c r="AL52" i="47" s="1"/>
  <c r="D51" i="47"/>
  <c r="D50" i="47"/>
  <c r="D49" i="47"/>
  <c r="D48" i="47"/>
  <c r="D47" i="47"/>
  <c r="AP47" i="47" s="1"/>
  <c r="D46" i="47"/>
  <c r="AJ46" i="47" s="1"/>
  <c r="D45" i="47"/>
  <c r="D44" i="47"/>
  <c r="AJ44" i="47" s="1"/>
  <c r="D43" i="47"/>
  <c r="V43" i="47" s="1"/>
  <c r="D42" i="47"/>
  <c r="P42" i="47" s="1"/>
  <c r="D41" i="47"/>
  <c r="AO41" i="47" s="1"/>
  <c r="AU70" i="46"/>
  <c r="AT70" i="46"/>
  <c r="AS70" i="46"/>
  <c r="AR70" i="46"/>
  <c r="AQ70" i="46"/>
  <c r="AP70" i="46"/>
  <c r="AO70" i="46"/>
  <c r="AN70" i="46"/>
  <c r="AM70" i="46"/>
  <c r="AL70" i="46"/>
  <c r="AK70" i="46"/>
  <c r="AJ70" i="46"/>
  <c r="AI70" i="46"/>
  <c r="AH70" i="46"/>
  <c r="AG70" i="46"/>
  <c r="AF70" i="46"/>
  <c r="AE70" i="46"/>
  <c r="AD70" i="46"/>
  <c r="AA70" i="46"/>
  <c r="Z70" i="46"/>
  <c r="Y70" i="46"/>
  <c r="X70" i="46"/>
  <c r="W70" i="46"/>
  <c r="V70" i="46"/>
  <c r="U70" i="46"/>
  <c r="T70" i="46"/>
  <c r="S70" i="46"/>
  <c r="R70" i="46"/>
  <c r="Q70" i="46"/>
  <c r="P70" i="46"/>
  <c r="O70" i="46"/>
  <c r="N70" i="46"/>
  <c r="M70" i="46"/>
  <c r="L70" i="46"/>
  <c r="K70" i="46"/>
  <c r="J70" i="46"/>
  <c r="I70" i="46"/>
  <c r="H70" i="46"/>
  <c r="G70" i="46"/>
  <c r="F70" i="46"/>
  <c r="E70" i="46"/>
  <c r="AU69" i="46"/>
  <c r="AT69" i="46"/>
  <c r="AS69" i="46"/>
  <c r="AR69" i="46"/>
  <c r="AQ69" i="46"/>
  <c r="AP69" i="46"/>
  <c r="AO69" i="46"/>
  <c r="AN69" i="46"/>
  <c r="AM69" i="46"/>
  <c r="AL69" i="46"/>
  <c r="AK69" i="46"/>
  <c r="AJ69" i="46"/>
  <c r="AI69" i="46"/>
  <c r="AH69" i="46"/>
  <c r="AG69" i="46"/>
  <c r="AF69" i="46"/>
  <c r="AE69" i="46"/>
  <c r="AD69" i="46"/>
  <c r="AA69" i="46"/>
  <c r="Z69" i="46"/>
  <c r="Y69" i="46"/>
  <c r="X69" i="46"/>
  <c r="W69" i="46"/>
  <c r="V69" i="46"/>
  <c r="U69" i="46"/>
  <c r="T69" i="46"/>
  <c r="S69" i="46"/>
  <c r="R69" i="46"/>
  <c r="Q69" i="46"/>
  <c r="P69" i="46"/>
  <c r="O69" i="46"/>
  <c r="N69" i="46"/>
  <c r="M69" i="46"/>
  <c r="L69" i="46"/>
  <c r="K69" i="46"/>
  <c r="J69" i="46"/>
  <c r="I69" i="46"/>
  <c r="H69" i="46"/>
  <c r="G69" i="46"/>
  <c r="F69" i="46"/>
  <c r="E69" i="46"/>
  <c r="AU68" i="46"/>
  <c r="AT68" i="46"/>
  <c r="AS68" i="46"/>
  <c r="AR68" i="46"/>
  <c r="AQ68" i="46"/>
  <c r="AP68" i="46"/>
  <c r="AO68" i="46"/>
  <c r="AN68" i="46"/>
  <c r="AM68" i="46"/>
  <c r="AL68" i="46"/>
  <c r="AK68" i="46"/>
  <c r="AJ68" i="46"/>
  <c r="AI68" i="46"/>
  <c r="AH68" i="46"/>
  <c r="AG68" i="46"/>
  <c r="AF68" i="46"/>
  <c r="AE68" i="46"/>
  <c r="AD68" i="46"/>
  <c r="AA68" i="46"/>
  <c r="Z68" i="46"/>
  <c r="Y68" i="46"/>
  <c r="X68" i="46"/>
  <c r="W68" i="46"/>
  <c r="V68" i="46"/>
  <c r="U68" i="46"/>
  <c r="T68" i="46"/>
  <c r="S68" i="46"/>
  <c r="R68" i="46"/>
  <c r="Q68" i="46"/>
  <c r="P68" i="46"/>
  <c r="O68" i="46"/>
  <c r="N68" i="46"/>
  <c r="M68" i="46"/>
  <c r="L68" i="46"/>
  <c r="K68" i="46"/>
  <c r="J68" i="46"/>
  <c r="I68" i="46"/>
  <c r="H68" i="46"/>
  <c r="G68" i="46"/>
  <c r="F68" i="46"/>
  <c r="E68" i="46"/>
  <c r="AU67" i="46"/>
  <c r="AT67" i="46"/>
  <c r="AS67" i="46"/>
  <c r="AR67" i="46"/>
  <c r="AQ67" i="46"/>
  <c r="AP67" i="46"/>
  <c r="AO67" i="46"/>
  <c r="AN67" i="46"/>
  <c r="AM67" i="46"/>
  <c r="AL67" i="46"/>
  <c r="AK67" i="46"/>
  <c r="AJ67" i="46"/>
  <c r="AI67" i="46"/>
  <c r="AH67" i="46"/>
  <c r="AG67" i="46"/>
  <c r="AF67" i="46"/>
  <c r="AE67" i="46"/>
  <c r="AD67" i="46"/>
  <c r="AA67" i="46"/>
  <c r="Z67" i="46"/>
  <c r="Y67" i="46"/>
  <c r="X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F67" i="46"/>
  <c r="E67" i="46"/>
  <c r="AT63" i="46"/>
  <c r="Y61" i="46"/>
  <c r="AR58" i="46"/>
  <c r="AQ56" i="46"/>
  <c r="AL54" i="46"/>
  <c r="M52" i="46"/>
  <c r="AN50" i="46"/>
  <c r="P48" i="46"/>
  <c r="AN46" i="46"/>
  <c r="AQ43" i="46"/>
  <c r="AS42" i="46"/>
  <c r="D41" i="46"/>
  <c r="M41" i="46" s="1"/>
  <c r="AU70" i="48"/>
  <c r="AT70" i="48"/>
  <c r="AS70" i="48"/>
  <c r="AR70" i="48"/>
  <c r="AQ70" i="48"/>
  <c r="AP70" i="48"/>
  <c r="AO70" i="48"/>
  <c r="AN70" i="48"/>
  <c r="AM70" i="48"/>
  <c r="AL70" i="48"/>
  <c r="AK70" i="48"/>
  <c r="AJ70" i="48"/>
  <c r="AI70" i="48"/>
  <c r="AH70" i="48"/>
  <c r="AG70" i="48"/>
  <c r="AF70" i="48"/>
  <c r="AE70" i="48"/>
  <c r="AD70" i="48"/>
  <c r="AA70" i="48"/>
  <c r="Z70" i="48"/>
  <c r="Y70" i="48"/>
  <c r="X70" i="48"/>
  <c r="W70" i="48"/>
  <c r="V70" i="48"/>
  <c r="U70" i="48"/>
  <c r="T70" i="48"/>
  <c r="S70" i="48"/>
  <c r="R70" i="48"/>
  <c r="Q70" i="48"/>
  <c r="P70" i="48"/>
  <c r="O70" i="48"/>
  <c r="N70" i="48"/>
  <c r="M70" i="48"/>
  <c r="L70" i="48"/>
  <c r="K70" i="48"/>
  <c r="J70" i="48"/>
  <c r="I70" i="48"/>
  <c r="H70" i="48"/>
  <c r="G70" i="48"/>
  <c r="F70" i="48"/>
  <c r="E70" i="48"/>
  <c r="AU69" i="48"/>
  <c r="AT69" i="48"/>
  <c r="AS69" i="48"/>
  <c r="AR69" i="48"/>
  <c r="AQ69" i="48"/>
  <c r="AP69" i="48"/>
  <c r="AO69" i="48"/>
  <c r="AN69" i="48"/>
  <c r="AM69" i="48"/>
  <c r="AL69" i="48"/>
  <c r="AK69" i="48"/>
  <c r="AJ69" i="48"/>
  <c r="AI69" i="48"/>
  <c r="AH69" i="48"/>
  <c r="AG69" i="48"/>
  <c r="AF69" i="48"/>
  <c r="AE69" i="48"/>
  <c r="AD69" i="48"/>
  <c r="AA69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AU68" i="48"/>
  <c r="AT68" i="48"/>
  <c r="AS68" i="48"/>
  <c r="AR68" i="48"/>
  <c r="AQ68" i="48"/>
  <c r="AP68" i="48"/>
  <c r="AO68" i="48"/>
  <c r="AN68" i="48"/>
  <c r="AM68" i="48"/>
  <c r="AL68" i="48"/>
  <c r="AK68" i="48"/>
  <c r="AJ68" i="48"/>
  <c r="AI68" i="48"/>
  <c r="AH68" i="48"/>
  <c r="AG68" i="48"/>
  <c r="AF68" i="48"/>
  <c r="AE68" i="48"/>
  <c r="AD68" i="48"/>
  <c r="AA68" i="48"/>
  <c r="Z68" i="48"/>
  <c r="Y68" i="48"/>
  <c r="X68" i="48"/>
  <c r="W68" i="48"/>
  <c r="V68" i="48"/>
  <c r="U68" i="48"/>
  <c r="T68" i="48"/>
  <c r="S68" i="48"/>
  <c r="R68" i="48"/>
  <c r="Q68" i="48"/>
  <c r="P68" i="48"/>
  <c r="O68" i="48"/>
  <c r="N68" i="48"/>
  <c r="M68" i="48"/>
  <c r="L68" i="48"/>
  <c r="K68" i="48"/>
  <c r="J68" i="48"/>
  <c r="I68" i="48"/>
  <c r="H68" i="48"/>
  <c r="G68" i="48"/>
  <c r="F68" i="48"/>
  <c r="E68" i="48"/>
  <c r="AU67" i="48"/>
  <c r="AT67" i="48"/>
  <c r="AS67" i="48"/>
  <c r="AR67" i="48"/>
  <c r="AQ67" i="48"/>
  <c r="AP67" i="48"/>
  <c r="AO67" i="48"/>
  <c r="AN67" i="48"/>
  <c r="AM67" i="48"/>
  <c r="AL67" i="48"/>
  <c r="AK67" i="48"/>
  <c r="AJ67" i="48"/>
  <c r="AI67" i="48"/>
  <c r="AH67" i="48"/>
  <c r="AG67" i="48"/>
  <c r="AF67" i="48"/>
  <c r="AE67" i="48"/>
  <c r="AD67" i="48"/>
  <c r="AA67" i="48"/>
  <c r="Z67" i="48"/>
  <c r="Y67" i="48"/>
  <c r="X67" i="48"/>
  <c r="W67" i="48"/>
  <c r="V67" i="48"/>
  <c r="U67" i="48"/>
  <c r="T67" i="48"/>
  <c r="S67" i="48"/>
  <c r="R67" i="48"/>
  <c r="Q67" i="48"/>
  <c r="P67" i="48"/>
  <c r="O67" i="48"/>
  <c r="N67" i="48"/>
  <c r="M67" i="48"/>
  <c r="L67" i="48"/>
  <c r="K67" i="48"/>
  <c r="J67" i="48"/>
  <c r="I67" i="48"/>
  <c r="H67" i="48"/>
  <c r="G67" i="48"/>
  <c r="F67" i="48"/>
  <c r="E67" i="48"/>
  <c r="R66" i="48"/>
  <c r="L65" i="48"/>
  <c r="M64" i="48"/>
  <c r="V63" i="48"/>
  <c r="AO62" i="48"/>
  <c r="AK58" i="48"/>
  <c r="U57" i="48"/>
  <c r="W55" i="48"/>
  <c r="AI53" i="48"/>
  <c r="AT51" i="48"/>
  <c r="AN50" i="48"/>
  <c r="W49" i="48"/>
  <c r="AH46" i="48"/>
  <c r="U45" i="48"/>
  <c r="D41" i="48"/>
  <c r="AU70" i="49"/>
  <c r="AT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A70" i="49"/>
  <c r="Z70" i="49"/>
  <c r="Y70" i="49"/>
  <c r="X70" i="49"/>
  <c r="W70" i="49"/>
  <c r="V70" i="49"/>
  <c r="U70" i="49"/>
  <c r="T70" i="49"/>
  <c r="S70" i="49"/>
  <c r="R70" i="49"/>
  <c r="Q70" i="49"/>
  <c r="P70" i="49"/>
  <c r="O70" i="49"/>
  <c r="N70" i="49"/>
  <c r="M70" i="49"/>
  <c r="L70" i="49"/>
  <c r="K70" i="49"/>
  <c r="J70" i="49"/>
  <c r="I70" i="49"/>
  <c r="H70" i="49"/>
  <c r="G70" i="49"/>
  <c r="F70" i="49"/>
  <c r="E70" i="49"/>
  <c r="AU69" i="49"/>
  <c r="AT69" i="49"/>
  <c r="AS69" i="49"/>
  <c r="AR69" i="49"/>
  <c r="AQ69" i="49"/>
  <c r="AP69" i="49"/>
  <c r="AO69" i="49"/>
  <c r="AN69" i="49"/>
  <c r="AM69" i="49"/>
  <c r="AL69" i="49"/>
  <c r="AK69" i="49"/>
  <c r="AJ69" i="49"/>
  <c r="AI69" i="49"/>
  <c r="AH69" i="49"/>
  <c r="AG69" i="49"/>
  <c r="AF69" i="49"/>
  <c r="AE69" i="49"/>
  <c r="AD69" i="49"/>
  <c r="AA69" i="49"/>
  <c r="Z69" i="49"/>
  <c r="Y69" i="49"/>
  <c r="X69" i="49"/>
  <c r="W69" i="49"/>
  <c r="V69" i="49"/>
  <c r="U69" i="49"/>
  <c r="T69" i="49"/>
  <c r="S69" i="49"/>
  <c r="R69" i="49"/>
  <c r="Q69" i="49"/>
  <c r="P69" i="49"/>
  <c r="O69" i="49"/>
  <c r="N69" i="49"/>
  <c r="M69" i="49"/>
  <c r="L69" i="49"/>
  <c r="K69" i="49"/>
  <c r="J69" i="49"/>
  <c r="I69" i="49"/>
  <c r="H69" i="49"/>
  <c r="G69" i="49"/>
  <c r="F69" i="49"/>
  <c r="E69" i="49"/>
  <c r="AU68" i="49"/>
  <c r="AT68" i="49"/>
  <c r="AS68" i="49"/>
  <c r="AR68" i="49"/>
  <c r="AQ68" i="49"/>
  <c r="AP68" i="49"/>
  <c r="AO68" i="49"/>
  <c r="AN68" i="49"/>
  <c r="AM68" i="49"/>
  <c r="AL68" i="49"/>
  <c r="AK68" i="49"/>
  <c r="AJ68" i="49"/>
  <c r="AI68" i="49"/>
  <c r="AH68" i="49"/>
  <c r="AG68" i="49"/>
  <c r="AF68" i="49"/>
  <c r="AE68" i="49"/>
  <c r="AD68" i="49"/>
  <c r="AA68" i="49"/>
  <c r="Z68" i="49"/>
  <c r="Y68" i="49"/>
  <c r="X68" i="49"/>
  <c r="W68" i="49"/>
  <c r="V68" i="49"/>
  <c r="U68" i="49"/>
  <c r="T68" i="49"/>
  <c r="S68" i="49"/>
  <c r="R68" i="49"/>
  <c r="Q68" i="49"/>
  <c r="P68" i="49"/>
  <c r="O68" i="49"/>
  <c r="N68" i="49"/>
  <c r="M68" i="49"/>
  <c r="L68" i="49"/>
  <c r="K68" i="49"/>
  <c r="J68" i="49"/>
  <c r="I68" i="49"/>
  <c r="H68" i="49"/>
  <c r="G68" i="49"/>
  <c r="F68" i="49"/>
  <c r="E68" i="49"/>
  <c r="AU67" i="49"/>
  <c r="AT67" i="49"/>
  <c r="AS67" i="49"/>
  <c r="AR67" i="49"/>
  <c r="AQ67" i="49"/>
  <c r="AP67" i="49"/>
  <c r="AO67" i="49"/>
  <c r="AN67" i="49"/>
  <c r="AM67" i="49"/>
  <c r="AL67" i="49"/>
  <c r="AK67" i="49"/>
  <c r="AJ67" i="49"/>
  <c r="AI67" i="49"/>
  <c r="AH67" i="49"/>
  <c r="AG67" i="49"/>
  <c r="AF67" i="49"/>
  <c r="AE67" i="49"/>
  <c r="AD67" i="49"/>
  <c r="AA67" i="49"/>
  <c r="Z67" i="49"/>
  <c r="Y67" i="49"/>
  <c r="X67" i="49"/>
  <c r="W67" i="49"/>
  <c r="V67" i="49"/>
  <c r="U67" i="49"/>
  <c r="T67" i="49"/>
  <c r="S67" i="49"/>
  <c r="R67" i="49"/>
  <c r="Q67" i="49"/>
  <c r="P67" i="49"/>
  <c r="O67" i="49"/>
  <c r="N67" i="49"/>
  <c r="M67" i="49"/>
  <c r="L67" i="49"/>
  <c r="K67" i="49"/>
  <c r="J67" i="49"/>
  <c r="I67" i="49"/>
  <c r="H67" i="49"/>
  <c r="G67" i="49"/>
  <c r="F67" i="49"/>
  <c r="E67" i="49"/>
  <c r="AO66" i="49"/>
  <c r="AF65" i="49"/>
  <c r="AH64" i="49"/>
  <c r="AM63" i="49"/>
  <c r="X62" i="49"/>
  <c r="AO61" i="49"/>
  <c r="AL60" i="49"/>
  <c r="AK57" i="49"/>
  <c r="AH56" i="49"/>
  <c r="AO52" i="49"/>
  <c r="AL47" i="49"/>
  <c r="AG46" i="49"/>
  <c r="L42" i="49"/>
  <c r="D41" i="49"/>
  <c r="J41" i="49" s="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I70" i="51"/>
  <c r="AH70" i="51"/>
  <c r="AG70" i="51"/>
  <c r="AF70" i="51"/>
  <c r="AE70" i="51"/>
  <c r="AD70" i="51"/>
  <c r="AA70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M70" i="51"/>
  <c r="L70" i="51"/>
  <c r="K70" i="51"/>
  <c r="J70" i="51"/>
  <c r="I70" i="51"/>
  <c r="H70" i="51"/>
  <c r="G70" i="51"/>
  <c r="F70" i="51"/>
  <c r="E70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I69" i="51"/>
  <c r="AH69" i="51"/>
  <c r="AG69" i="51"/>
  <c r="AF69" i="51"/>
  <c r="AE69" i="51"/>
  <c r="AD69" i="51"/>
  <c r="AA69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M69" i="51"/>
  <c r="L69" i="51"/>
  <c r="K69" i="51"/>
  <c r="J69" i="51"/>
  <c r="I69" i="51"/>
  <c r="H69" i="51"/>
  <c r="G69" i="51"/>
  <c r="F69" i="51"/>
  <c r="E69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I68" i="51"/>
  <c r="AH68" i="51"/>
  <c r="AG68" i="51"/>
  <c r="AF68" i="51"/>
  <c r="AE68" i="51"/>
  <c r="AD68" i="51"/>
  <c r="AA68" i="51"/>
  <c r="Z68" i="51"/>
  <c r="Y68" i="51"/>
  <c r="X68" i="51"/>
  <c r="W68" i="51"/>
  <c r="V68" i="51"/>
  <c r="U68" i="51"/>
  <c r="T68" i="51"/>
  <c r="S68" i="51"/>
  <c r="R68" i="51"/>
  <c r="Q68" i="51"/>
  <c r="P68" i="51"/>
  <c r="O68" i="51"/>
  <c r="N68" i="51"/>
  <c r="M68" i="51"/>
  <c r="L68" i="51"/>
  <c r="K68" i="51"/>
  <c r="J68" i="51"/>
  <c r="I68" i="51"/>
  <c r="H68" i="51"/>
  <c r="G68" i="51"/>
  <c r="F68" i="51"/>
  <c r="E68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I67" i="51"/>
  <c r="AH67" i="51"/>
  <c r="AG67" i="51"/>
  <c r="AF67" i="51"/>
  <c r="AE67" i="51"/>
  <c r="AD67" i="51"/>
  <c r="AA67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M67" i="51"/>
  <c r="L67" i="51"/>
  <c r="K67" i="51"/>
  <c r="J67" i="51"/>
  <c r="I67" i="51"/>
  <c r="H67" i="51"/>
  <c r="G67" i="51"/>
  <c r="F67" i="51"/>
  <c r="E67" i="51"/>
  <c r="Z66" i="51"/>
  <c r="AQ65" i="51"/>
  <c r="AI63" i="51"/>
  <c r="V60" i="51"/>
  <c r="AT59" i="51"/>
  <c r="AS57" i="51"/>
  <c r="AH56" i="51"/>
  <c r="S51" i="51"/>
  <c r="V50" i="51"/>
  <c r="AE49" i="51"/>
  <c r="P47" i="51"/>
  <c r="AJ45" i="51"/>
  <c r="AK44" i="51"/>
  <c r="AN42" i="51"/>
  <c r="D41" i="51"/>
  <c r="K41" i="51" s="1"/>
  <c r="AU70" i="52"/>
  <c r="AT70" i="52"/>
  <c r="AS70" i="52"/>
  <c r="AR70" i="52"/>
  <c r="AQ70" i="52"/>
  <c r="AP70" i="52"/>
  <c r="AO70" i="52"/>
  <c r="AN70" i="52"/>
  <c r="AM70" i="52"/>
  <c r="AL70" i="52"/>
  <c r="AK70" i="52"/>
  <c r="AJ70" i="52"/>
  <c r="AI70" i="52"/>
  <c r="AH70" i="52"/>
  <c r="AG70" i="52"/>
  <c r="AF70" i="52"/>
  <c r="AE70" i="52"/>
  <c r="AD70" i="52"/>
  <c r="AA70" i="52"/>
  <c r="Z70" i="52"/>
  <c r="Y70" i="52"/>
  <c r="X70" i="52"/>
  <c r="W70" i="52"/>
  <c r="V70" i="52"/>
  <c r="U70" i="52"/>
  <c r="T70" i="52"/>
  <c r="S70" i="52"/>
  <c r="R70" i="52"/>
  <c r="Q70" i="52"/>
  <c r="P70" i="52"/>
  <c r="O70" i="52"/>
  <c r="N70" i="52"/>
  <c r="M70" i="52"/>
  <c r="L70" i="52"/>
  <c r="K70" i="52"/>
  <c r="J70" i="52"/>
  <c r="I70" i="52"/>
  <c r="H70" i="52"/>
  <c r="G70" i="52"/>
  <c r="F70" i="52"/>
  <c r="E70" i="52"/>
  <c r="AU69" i="52"/>
  <c r="AT69" i="52"/>
  <c r="AS69" i="52"/>
  <c r="AR69" i="52"/>
  <c r="AQ69" i="52"/>
  <c r="AP69" i="52"/>
  <c r="AO69" i="52"/>
  <c r="AN69" i="52"/>
  <c r="AM69" i="52"/>
  <c r="AL69" i="52"/>
  <c r="AK69" i="52"/>
  <c r="AJ69" i="52"/>
  <c r="AI69" i="52"/>
  <c r="AH69" i="52"/>
  <c r="AG69" i="52"/>
  <c r="AF69" i="52"/>
  <c r="AE69" i="52"/>
  <c r="AD69" i="52"/>
  <c r="AA69" i="52"/>
  <c r="Z69" i="52"/>
  <c r="Y69" i="52"/>
  <c r="X69" i="52"/>
  <c r="W69" i="52"/>
  <c r="V69" i="52"/>
  <c r="U69" i="52"/>
  <c r="T69" i="52"/>
  <c r="S69" i="52"/>
  <c r="R69" i="52"/>
  <c r="Q69" i="52"/>
  <c r="P69" i="52"/>
  <c r="O69" i="52"/>
  <c r="N69" i="52"/>
  <c r="M69" i="52"/>
  <c r="L69" i="52"/>
  <c r="K69" i="52"/>
  <c r="J69" i="52"/>
  <c r="I69" i="52"/>
  <c r="H69" i="52"/>
  <c r="G69" i="52"/>
  <c r="F69" i="52"/>
  <c r="E69" i="52"/>
  <c r="AU68" i="52"/>
  <c r="AT68" i="52"/>
  <c r="AS68" i="52"/>
  <c r="AR68" i="52"/>
  <c r="AQ68" i="52"/>
  <c r="AP68" i="52"/>
  <c r="AO68" i="52"/>
  <c r="AN68" i="52"/>
  <c r="AM68" i="52"/>
  <c r="AL68" i="52"/>
  <c r="AK68" i="52"/>
  <c r="AJ68" i="52"/>
  <c r="AI68" i="52"/>
  <c r="AH68" i="52"/>
  <c r="AG68" i="52"/>
  <c r="AF68" i="52"/>
  <c r="AE68" i="52"/>
  <c r="AD68" i="52"/>
  <c r="AA68" i="52"/>
  <c r="Z68" i="52"/>
  <c r="Y68" i="52"/>
  <c r="X68" i="52"/>
  <c r="W68" i="52"/>
  <c r="V68" i="52"/>
  <c r="U68" i="52"/>
  <c r="T68" i="52"/>
  <c r="S68" i="52"/>
  <c r="R68" i="52"/>
  <c r="Q68" i="52"/>
  <c r="P68" i="52"/>
  <c r="O68" i="52"/>
  <c r="N68" i="52"/>
  <c r="M68" i="52"/>
  <c r="L68" i="52"/>
  <c r="K68" i="52"/>
  <c r="J68" i="52"/>
  <c r="I68" i="52"/>
  <c r="H68" i="52"/>
  <c r="G68" i="52"/>
  <c r="F68" i="52"/>
  <c r="E68" i="52"/>
  <c r="AU67" i="52"/>
  <c r="AT67" i="52"/>
  <c r="AS67" i="52"/>
  <c r="AR67" i="52"/>
  <c r="AQ67" i="52"/>
  <c r="AP67" i="52"/>
  <c r="AO67" i="52"/>
  <c r="AN67" i="52"/>
  <c r="AM67" i="52"/>
  <c r="AL67" i="52"/>
  <c r="AK67" i="52"/>
  <c r="AJ67" i="52"/>
  <c r="AI67" i="52"/>
  <c r="AH67" i="52"/>
  <c r="AG67" i="52"/>
  <c r="AF67" i="52"/>
  <c r="AE67" i="52"/>
  <c r="AD67" i="52"/>
  <c r="AA67" i="52"/>
  <c r="Z67" i="52"/>
  <c r="Y67" i="52"/>
  <c r="X67" i="52"/>
  <c r="W67" i="52"/>
  <c r="V67" i="52"/>
  <c r="U67" i="52"/>
  <c r="T67" i="52"/>
  <c r="S67" i="52"/>
  <c r="R67" i="52"/>
  <c r="Q67" i="52"/>
  <c r="P67" i="52"/>
  <c r="O67" i="52"/>
  <c r="N67" i="52"/>
  <c r="M67" i="52"/>
  <c r="L67" i="52"/>
  <c r="K67" i="52"/>
  <c r="J67" i="52"/>
  <c r="I67" i="52"/>
  <c r="H67" i="52"/>
  <c r="G67" i="52"/>
  <c r="F67" i="52"/>
  <c r="E67" i="52"/>
  <c r="AO65" i="52"/>
  <c r="T63" i="52"/>
  <c r="X62" i="52"/>
  <c r="AE61" i="52"/>
  <c r="AS59" i="52"/>
  <c r="AN57" i="52"/>
  <c r="H55" i="52"/>
  <c r="J54" i="52"/>
  <c r="AR52" i="52"/>
  <c r="L51" i="52"/>
  <c r="U48" i="52"/>
  <c r="O46" i="52"/>
  <c r="AR45" i="52"/>
  <c r="L44" i="52"/>
  <c r="AP43" i="52"/>
  <c r="D42" i="52"/>
  <c r="D41" i="52"/>
  <c r="N41" i="52" s="1"/>
  <c r="AU70" i="53"/>
  <c r="AT70" i="53"/>
  <c r="AS70" i="53"/>
  <c r="AR70" i="53"/>
  <c r="AQ70" i="53"/>
  <c r="AP70" i="53"/>
  <c r="AO70" i="53"/>
  <c r="AN70" i="53"/>
  <c r="AM70" i="53"/>
  <c r="AL70" i="53"/>
  <c r="AK70" i="53"/>
  <c r="AJ70" i="53"/>
  <c r="AI70" i="53"/>
  <c r="AH70" i="53"/>
  <c r="AG70" i="53"/>
  <c r="AF70" i="53"/>
  <c r="AE70" i="53"/>
  <c r="AD70" i="53"/>
  <c r="AA70" i="53"/>
  <c r="Z70" i="53"/>
  <c r="Y70" i="53"/>
  <c r="X70" i="53"/>
  <c r="W70" i="53"/>
  <c r="V70" i="53"/>
  <c r="U70" i="53"/>
  <c r="T70" i="53"/>
  <c r="S70" i="53"/>
  <c r="R70" i="53"/>
  <c r="Q70" i="53"/>
  <c r="P70" i="53"/>
  <c r="O70" i="53"/>
  <c r="N70" i="53"/>
  <c r="M70" i="53"/>
  <c r="L70" i="53"/>
  <c r="K70" i="53"/>
  <c r="J70" i="53"/>
  <c r="I70" i="53"/>
  <c r="H70" i="53"/>
  <c r="G70" i="53"/>
  <c r="F70" i="53"/>
  <c r="E70" i="53"/>
  <c r="AU69" i="53"/>
  <c r="AT69" i="53"/>
  <c r="AS69" i="53"/>
  <c r="AR69" i="53"/>
  <c r="AQ69" i="53"/>
  <c r="AP69" i="53"/>
  <c r="AO69" i="53"/>
  <c r="AN69" i="53"/>
  <c r="AM69" i="53"/>
  <c r="AL69" i="53"/>
  <c r="AK69" i="53"/>
  <c r="AJ69" i="53"/>
  <c r="AI69" i="53"/>
  <c r="AH69" i="53"/>
  <c r="AG69" i="53"/>
  <c r="AF69" i="53"/>
  <c r="AE69" i="53"/>
  <c r="AD69" i="53"/>
  <c r="AA69" i="53"/>
  <c r="Z69" i="53"/>
  <c r="Y69" i="53"/>
  <c r="X69" i="53"/>
  <c r="W69" i="53"/>
  <c r="V69" i="53"/>
  <c r="U69" i="53"/>
  <c r="T69" i="53"/>
  <c r="S69" i="53"/>
  <c r="R69" i="53"/>
  <c r="Q69" i="53"/>
  <c r="P69" i="53"/>
  <c r="O69" i="53"/>
  <c r="N69" i="53"/>
  <c r="M69" i="53"/>
  <c r="L69" i="53"/>
  <c r="K69" i="53"/>
  <c r="J69" i="53"/>
  <c r="I69" i="53"/>
  <c r="H69" i="53"/>
  <c r="G69" i="53"/>
  <c r="F69" i="53"/>
  <c r="E69" i="53"/>
  <c r="AU68" i="53"/>
  <c r="AT68" i="53"/>
  <c r="AS68" i="53"/>
  <c r="AR68" i="53"/>
  <c r="AQ68" i="53"/>
  <c r="AP68" i="53"/>
  <c r="AO68" i="53"/>
  <c r="AN68" i="53"/>
  <c r="AM68" i="53"/>
  <c r="AL68" i="53"/>
  <c r="AK68" i="53"/>
  <c r="AJ68" i="53"/>
  <c r="AI68" i="53"/>
  <c r="AH68" i="53"/>
  <c r="AG68" i="53"/>
  <c r="AF68" i="53"/>
  <c r="AE68" i="53"/>
  <c r="AD68" i="53"/>
  <c r="AA68" i="53"/>
  <c r="Z68" i="53"/>
  <c r="Y68" i="53"/>
  <c r="X68" i="53"/>
  <c r="W68" i="53"/>
  <c r="V68" i="53"/>
  <c r="U68" i="53"/>
  <c r="T68" i="53"/>
  <c r="S68" i="53"/>
  <c r="R68" i="53"/>
  <c r="Q68" i="53"/>
  <c r="P68" i="53"/>
  <c r="O68" i="53"/>
  <c r="N68" i="53"/>
  <c r="M68" i="53"/>
  <c r="L68" i="53"/>
  <c r="K68" i="53"/>
  <c r="J68" i="53"/>
  <c r="I68" i="53"/>
  <c r="H68" i="53"/>
  <c r="G68" i="53"/>
  <c r="F68" i="53"/>
  <c r="E68" i="53"/>
  <c r="AU67" i="53"/>
  <c r="AT67" i="53"/>
  <c r="AS67" i="53"/>
  <c r="AR67" i="53"/>
  <c r="AQ67" i="53"/>
  <c r="AP67" i="53"/>
  <c r="AO67" i="53"/>
  <c r="AN67" i="53"/>
  <c r="AM67" i="53"/>
  <c r="AL67" i="53"/>
  <c r="AK67" i="53"/>
  <c r="AJ67" i="53"/>
  <c r="AI67" i="53"/>
  <c r="AH67" i="53"/>
  <c r="AG67" i="53"/>
  <c r="AF67" i="53"/>
  <c r="AE67" i="53"/>
  <c r="AD67" i="53"/>
  <c r="AA67" i="53"/>
  <c r="Z67" i="53"/>
  <c r="Y67" i="53"/>
  <c r="X67" i="53"/>
  <c r="W67" i="53"/>
  <c r="V67" i="53"/>
  <c r="U67" i="53"/>
  <c r="T67" i="53"/>
  <c r="S67" i="53"/>
  <c r="R67" i="53"/>
  <c r="Q67" i="53"/>
  <c r="P67" i="53"/>
  <c r="O67" i="53"/>
  <c r="N67" i="53"/>
  <c r="M67" i="53"/>
  <c r="L67" i="53"/>
  <c r="K67" i="53"/>
  <c r="J67" i="53"/>
  <c r="I67" i="53"/>
  <c r="H67" i="53"/>
  <c r="G67" i="53"/>
  <c r="F67" i="53"/>
  <c r="E67" i="53"/>
  <c r="Z62" i="53"/>
  <c r="AK60" i="53"/>
  <c r="AF59" i="53"/>
  <c r="AU57" i="53"/>
  <c r="Y54" i="53"/>
  <c r="AM53" i="53"/>
  <c r="Y52" i="53"/>
  <c r="AK50" i="53"/>
  <c r="AJ49" i="53"/>
  <c r="S48" i="53"/>
  <c r="W47" i="53"/>
  <c r="AU45" i="53"/>
  <c r="AM42" i="53"/>
  <c r="D41" i="53"/>
  <c r="AS41" i="53" s="1"/>
  <c r="AU70" i="56"/>
  <c r="AT70" i="56"/>
  <c r="AS70" i="56"/>
  <c r="AR70" i="56"/>
  <c r="AQ70" i="56"/>
  <c r="AP70" i="56"/>
  <c r="AO70" i="56"/>
  <c r="AN70" i="56"/>
  <c r="AM70" i="56"/>
  <c r="AL70" i="56"/>
  <c r="AK70" i="56"/>
  <c r="AJ70" i="56"/>
  <c r="AI70" i="56"/>
  <c r="AH70" i="56"/>
  <c r="AG70" i="56"/>
  <c r="AF70" i="56"/>
  <c r="AE70" i="56"/>
  <c r="AD70" i="56"/>
  <c r="AA70" i="56"/>
  <c r="Z70" i="56"/>
  <c r="Y70" i="56"/>
  <c r="X70" i="56"/>
  <c r="W70" i="56"/>
  <c r="V70" i="56"/>
  <c r="U70" i="56"/>
  <c r="T70" i="56"/>
  <c r="S70" i="56"/>
  <c r="R70" i="56"/>
  <c r="Q70" i="56"/>
  <c r="P70" i="56"/>
  <c r="O70" i="56"/>
  <c r="N70" i="56"/>
  <c r="M70" i="56"/>
  <c r="L70" i="56"/>
  <c r="K70" i="56"/>
  <c r="J70" i="56"/>
  <c r="I70" i="56"/>
  <c r="H70" i="56"/>
  <c r="G70" i="56"/>
  <c r="F70" i="56"/>
  <c r="E70" i="56"/>
  <c r="AU69" i="56"/>
  <c r="AT69" i="56"/>
  <c r="AS69" i="56"/>
  <c r="AR69" i="56"/>
  <c r="AQ69" i="56"/>
  <c r="AP69" i="56"/>
  <c r="AO69" i="56"/>
  <c r="AN69" i="56"/>
  <c r="AM69" i="56"/>
  <c r="AL69" i="56"/>
  <c r="AK69" i="56"/>
  <c r="AJ69" i="56"/>
  <c r="AI69" i="56"/>
  <c r="AH69" i="56"/>
  <c r="AG69" i="56"/>
  <c r="AF69" i="56"/>
  <c r="AE69" i="56"/>
  <c r="AD69" i="56"/>
  <c r="AA69" i="56"/>
  <c r="Z69" i="56"/>
  <c r="Y69" i="56"/>
  <c r="X69" i="56"/>
  <c r="W69" i="56"/>
  <c r="V69" i="56"/>
  <c r="U69" i="56"/>
  <c r="T69" i="56"/>
  <c r="S69" i="56"/>
  <c r="R69" i="56"/>
  <c r="Q69" i="56"/>
  <c r="P69" i="56"/>
  <c r="O69" i="56"/>
  <c r="N69" i="56"/>
  <c r="M69" i="56"/>
  <c r="L69" i="56"/>
  <c r="K69" i="56"/>
  <c r="J69" i="56"/>
  <c r="I69" i="56"/>
  <c r="H69" i="56"/>
  <c r="G69" i="56"/>
  <c r="F69" i="56"/>
  <c r="E69" i="56"/>
  <c r="AU68" i="56"/>
  <c r="AT68" i="56"/>
  <c r="AS68" i="56"/>
  <c r="AR68" i="56"/>
  <c r="AQ68" i="56"/>
  <c r="AP68" i="56"/>
  <c r="AO68" i="56"/>
  <c r="AN68" i="56"/>
  <c r="AM68" i="56"/>
  <c r="AL68" i="56"/>
  <c r="AK68" i="56"/>
  <c r="AJ68" i="56"/>
  <c r="AI68" i="56"/>
  <c r="AH68" i="56"/>
  <c r="AG68" i="56"/>
  <c r="AF68" i="56"/>
  <c r="AE68" i="56"/>
  <c r="AD68" i="56"/>
  <c r="AA68" i="56"/>
  <c r="Z68" i="56"/>
  <c r="Y68" i="56"/>
  <c r="X68" i="56"/>
  <c r="W68" i="56"/>
  <c r="V68" i="56"/>
  <c r="U68" i="56"/>
  <c r="T68" i="56"/>
  <c r="S68" i="56"/>
  <c r="R68" i="56"/>
  <c r="Q68" i="56"/>
  <c r="P68" i="56"/>
  <c r="O68" i="56"/>
  <c r="N68" i="56"/>
  <c r="M68" i="56"/>
  <c r="L68" i="56"/>
  <c r="K68" i="56"/>
  <c r="J68" i="56"/>
  <c r="I68" i="56"/>
  <c r="H68" i="56"/>
  <c r="G68" i="56"/>
  <c r="F68" i="56"/>
  <c r="E68" i="56"/>
  <c r="AU67" i="56"/>
  <c r="AT67" i="56"/>
  <c r="AS67" i="56"/>
  <c r="AR67" i="56"/>
  <c r="AQ67" i="56"/>
  <c r="AP67" i="56"/>
  <c r="AO67" i="56"/>
  <c r="AN67" i="56"/>
  <c r="AM67" i="56"/>
  <c r="AL67" i="56"/>
  <c r="AK67" i="56"/>
  <c r="AJ67" i="56"/>
  <c r="AI67" i="56"/>
  <c r="AH67" i="56"/>
  <c r="AG67" i="56"/>
  <c r="AF67" i="56"/>
  <c r="AE67" i="56"/>
  <c r="AD67" i="56"/>
  <c r="AA67" i="56"/>
  <c r="Z67" i="56"/>
  <c r="Y67" i="56"/>
  <c r="X67" i="56"/>
  <c r="W67" i="56"/>
  <c r="V67" i="56"/>
  <c r="U67" i="56"/>
  <c r="T67" i="56"/>
  <c r="S67" i="56"/>
  <c r="R67" i="56"/>
  <c r="Q67" i="56"/>
  <c r="P67" i="56"/>
  <c r="O67" i="56"/>
  <c r="N67" i="56"/>
  <c r="M67" i="56"/>
  <c r="L67" i="56"/>
  <c r="K67" i="56"/>
  <c r="J67" i="56"/>
  <c r="I67" i="56"/>
  <c r="H67" i="56"/>
  <c r="G67" i="56"/>
  <c r="F67" i="56"/>
  <c r="E67" i="56"/>
  <c r="AN66" i="56"/>
  <c r="AF65" i="56"/>
  <c r="AF61" i="56"/>
  <c r="AJ60" i="56"/>
  <c r="AS57" i="56"/>
  <c r="AU56" i="56"/>
  <c r="U55" i="56"/>
  <c r="Y54" i="56"/>
  <c r="AI53" i="56"/>
  <c r="W49" i="56"/>
  <c r="V48" i="56"/>
  <c r="AT46" i="56"/>
  <c r="X45" i="56"/>
  <c r="T42" i="56"/>
  <c r="D41" i="56"/>
  <c r="AE41" i="56" s="1"/>
  <c r="S42" i="1"/>
  <c r="P43" i="1"/>
  <c r="AJ44" i="1"/>
  <c r="V45" i="1"/>
  <c r="E47" i="1"/>
  <c r="Y49" i="1"/>
  <c r="AP50" i="1"/>
  <c r="AF51" i="1"/>
  <c r="T52" i="1"/>
  <c r="AD54" i="1"/>
  <c r="V55" i="1"/>
  <c r="L57" i="1"/>
  <c r="Y58" i="1"/>
  <c r="AN59" i="1"/>
  <c r="L61" i="1"/>
  <c r="AA62" i="1"/>
  <c r="V63" i="1"/>
  <c r="W64" i="1"/>
  <c r="E65" i="1"/>
  <c r="AQ66" i="1"/>
  <c r="D41" i="1"/>
  <c r="Q56" i="55"/>
  <c r="R56" i="55"/>
  <c r="S56" i="55"/>
  <c r="T56" i="55"/>
  <c r="U56" i="55"/>
  <c r="V56" i="55"/>
  <c r="W56" i="55"/>
  <c r="X56" i="55"/>
  <c r="Y56" i="55"/>
  <c r="Z56" i="55"/>
  <c r="AA56" i="55"/>
  <c r="AB56" i="55"/>
  <c r="AC56" i="55"/>
  <c r="AD56" i="55"/>
  <c r="AE56" i="55"/>
  <c r="AF56" i="55"/>
  <c r="Q26" i="55"/>
  <c r="R26" i="55"/>
  <c r="S26" i="55"/>
  <c r="T26" i="55"/>
  <c r="U26" i="55"/>
  <c r="V26" i="55"/>
  <c r="W26" i="55"/>
  <c r="X26" i="55"/>
  <c r="Y26" i="55"/>
  <c r="Z26" i="55"/>
  <c r="AA26" i="55"/>
  <c r="AB26" i="55"/>
  <c r="AC26" i="55"/>
  <c r="AD26" i="55"/>
  <c r="AE26" i="55"/>
  <c r="AF26" i="55"/>
  <c r="AG26" i="55"/>
  <c r="AH26" i="55"/>
  <c r="AI26" i="55"/>
  <c r="AJ26" i="55"/>
  <c r="AK26" i="55"/>
  <c r="AL26" i="55"/>
  <c r="I32" i="55"/>
  <c r="I37" i="55"/>
  <c r="I45" i="55"/>
  <c r="I36" i="55"/>
  <c r="I46" i="55"/>
  <c r="I33" i="55"/>
  <c r="I38" i="55"/>
  <c r="I39" i="55"/>
  <c r="I41" i="55"/>
  <c r="I42" i="55"/>
  <c r="I44" i="55"/>
  <c r="I47" i="55"/>
  <c r="I48" i="55"/>
  <c r="I49" i="55"/>
  <c r="I50" i="55"/>
  <c r="I34" i="55"/>
  <c r="I35" i="55"/>
  <c r="I40" i="55"/>
  <c r="I43" i="55"/>
  <c r="I51" i="55"/>
  <c r="I52" i="55"/>
  <c r="I53" i="55"/>
  <c r="I54" i="55"/>
  <c r="H32" i="55"/>
  <c r="H37" i="55"/>
  <c r="H45" i="55"/>
  <c r="H36" i="55"/>
  <c r="H46" i="55"/>
  <c r="H33" i="55"/>
  <c r="H38" i="55"/>
  <c r="H39" i="55"/>
  <c r="H41" i="55"/>
  <c r="H42" i="55"/>
  <c r="H44" i="55"/>
  <c r="H47" i="55"/>
  <c r="H48" i="55"/>
  <c r="H49" i="55"/>
  <c r="H50" i="55"/>
  <c r="H34" i="55"/>
  <c r="H35" i="55"/>
  <c r="H40" i="55"/>
  <c r="H43" i="55"/>
  <c r="H51" i="55"/>
  <c r="H52" i="55"/>
  <c r="H53" i="55"/>
  <c r="H54" i="55"/>
  <c r="G32" i="55"/>
  <c r="G37" i="55"/>
  <c r="G45" i="55"/>
  <c r="G36" i="55"/>
  <c r="G46" i="55"/>
  <c r="G33" i="55"/>
  <c r="G38" i="55"/>
  <c r="G39" i="55"/>
  <c r="G41" i="55"/>
  <c r="G42" i="55"/>
  <c r="G44" i="55"/>
  <c r="G47" i="55"/>
  <c r="G48" i="55"/>
  <c r="G49" i="55"/>
  <c r="G50" i="55"/>
  <c r="G34" i="55"/>
  <c r="G35" i="55"/>
  <c r="G40" i="55"/>
  <c r="G43" i="55"/>
  <c r="G51" i="55"/>
  <c r="G52" i="55"/>
  <c r="G53" i="55"/>
  <c r="G54" i="55"/>
  <c r="F32" i="55"/>
  <c r="F37" i="55"/>
  <c r="F45" i="55"/>
  <c r="F36" i="55"/>
  <c r="F46" i="55"/>
  <c r="F33" i="55"/>
  <c r="F38" i="55"/>
  <c r="F39" i="55"/>
  <c r="F41" i="55"/>
  <c r="F42" i="55"/>
  <c r="F44" i="55"/>
  <c r="F47" i="55"/>
  <c r="F48" i="55"/>
  <c r="F49" i="55"/>
  <c r="F50" i="55"/>
  <c r="F34" i="55"/>
  <c r="F35" i="55"/>
  <c r="F40" i="55"/>
  <c r="F43" i="55"/>
  <c r="F51" i="55"/>
  <c r="F52" i="55"/>
  <c r="F53" i="55"/>
  <c r="F54" i="55"/>
  <c r="E32" i="55"/>
  <c r="E37" i="55"/>
  <c r="E45" i="55"/>
  <c r="E36" i="55"/>
  <c r="E46" i="55"/>
  <c r="E33" i="55"/>
  <c r="E38" i="55"/>
  <c r="E39" i="55"/>
  <c r="E41" i="55"/>
  <c r="E42" i="55"/>
  <c r="E44" i="55"/>
  <c r="E47" i="55"/>
  <c r="E48" i="55"/>
  <c r="E49" i="55"/>
  <c r="E50" i="55"/>
  <c r="E34" i="55"/>
  <c r="E35" i="55"/>
  <c r="E40" i="55"/>
  <c r="E43" i="55"/>
  <c r="E51" i="55"/>
  <c r="E52" i="55"/>
  <c r="E53" i="55"/>
  <c r="E54" i="55"/>
  <c r="D32" i="55"/>
  <c r="D37" i="55"/>
  <c r="D45" i="55"/>
  <c r="D36" i="55"/>
  <c r="D46" i="55"/>
  <c r="D33" i="55"/>
  <c r="D38" i="55"/>
  <c r="D39" i="55"/>
  <c r="D41" i="55"/>
  <c r="D42" i="55"/>
  <c r="D44" i="55"/>
  <c r="D47" i="55"/>
  <c r="D48" i="55"/>
  <c r="D49" i="55"/>
  <c r="D50" i="55"/>
  <c r="D34" i="55"/>
  <c r="D35" i="55"/>
  <c r="D40" i="55"/>
  <c r="D43" i="55"/>
  <c r="D51" i="55"/>
  <c r="D52" i="55"/>
  <c r="D53" i="55"/>
  <c r="D54" i="55"/>
  <c r="C32" i="55"/>
  <c r="C37" i="55"/>
  <c r="C45" i="55"/>
  <c r="C36" i="55"/>
  <c r="C46" i="55"/>
  <c r="C33" i="55"/>
  <c r="C38" i="55"/>
  <c r="C39" i="55"/>
  <c r="C41" i="55"/>
  <c r="C42" i="55"/>
  <c r="C44" i="55"/>
  <c r="C47" i="55"/>
  <c r="C48" i="55"/>
  <c r="C49" i="55"/>
  <c r="C50" i="55"/>
  <c r="C34" i="55"/>
  <c r="C35" i="55"/>
  <c r="C40" i="55"/>
  <c r="C43" i="55"/>
  <c r="C51" i="55"/>
  <c r="C52" i="55"/>
  <c r="C53" i="55"/>
  <c r="C54" i="55"/>
  <c r="AM2" i="55"/>
  <c r="O2" i="55" s="1"/>
  <c r="AM24" i="55"/>
  <c r="O24" i="55" s="1"/>
  <c r="AM15" i="55"/>
  <c r="O15" i="55" s="1"/>
  <c r="AM17" i="55"/>
  <c r="O17" i="55" s="1"/>
  <c r="AM19" i="55"/>
  <c r="O19" i="55" s="1"/>
  <c r="AM12" i="55"/>
  <c r="O12" i="55" s="1"/>
  <c r="AM5" i="55"/>
  <c r="O5" i="55" s="1"/>
  <c r="AM6" i="55"/>
  <c r="O6" i="55" s="1"/>
  <c r="AM10" i="55"/>
  <c r="O10" i="55" s="1"/>
  <c r="AM11" i="55"/>
  <c r="O11" i="55" s="1"/>
  <c r="AM7" i="55"/>
  <c r="O7" i="55" s="1"/>
  <c r="AM13" i="55"/>
  <c r="O13" i="55" s="1"/>
  <c r="AM4" i="55"/>
  <c r="O4" i="55" s="1"/>
  <c r="AM9" i="55"/>
  <c r="O9" i="55" s="1"/>
  <c r="AM8" i="55"/>
  <c r="O8" i="55" s="1"/>
  <c r="AM18" i="55"/>
  <c r="O18" i="55" s="1"/>
  <c r="AM22" i="55"/>
  <c r="O22" i="55" s="1"/>
  <c r="AM14" i="55"/>
  <c r="O14" i="55" s="1"/>
  <c r="AM20" i="55"/>
  <c r="O20" i="55" s="1"/>
  <c r="AM21" i="55"/>
  <c r="O21" i="55" s="1"/>
  <c r="AM16" i="55"/>
  <c r="O16" i="55" s="1"/>
  <c r="AM23" i="55"/>
  <c r="O23" i="55" s="1"/>
  <c r="AM3" i="55"/>
  <c r="O3" i="55" s="1"/>
  <c r="I2" i="55"/>
  <c r="I24" i="55"/>
  <c r="I15" i="55"/>
  <c r="I17" i="55"/>
  <c r="I19" i="55"/>
  <c r="I12" i="55"/>
  <c r="I5" i="55"/>
  <c r="I6" i="55"/>
  <c r="I10" i="55"/>
  <c r="I11" i="55"/>
  <c r="I7" i="55"/>
  <c r="I13" i="55"/>
  <c r="I4" i="55"/>
  <c r="I9" i="55"/>
  <c r="I8" i="55"/>
  <c r="I18" i="55"/>
  <c r="I22" i="55"/>
  <c r="I14" i="55"/>
  <c r="I20" i="55"/>
  <c r="I21" i="55"/>
  <c r="I16" i="55"/>
  <c r="I23" i="55"/>
  <c r="I3" i="55"/>
  <c r="H2" i="55"/>
  <c r="H24" i="55"/>
  <c r="H15" i="55"/>
  <c r="H17" i="55"/>
  <c r="H19" i="55"/>
  <c r="H12" i="55"/>
  <c r="H5" i="55"/>
  <c r="H6" i="55"/>
  <c r="H10" i="55"/>
  <c r="H11" i="55"/>
  <c r="H7" i="55"/>
  <c r="H13" i="55"/>
  <c r="H4" i="55"/>
  <c r="H9" i="55"/>
  <c r="H8" i="55"/>
  <c r="H18" i="55"/>
  <c r="H22" i="55"/>
  <c r="H14" i="55"/>
  <c r="H20" i="55"/>
  <c r="H21" i="55"/>
  <c r="H16" i="55"/>
  <c r="H23" i="55"/>
  <c r="H3" i="55"/>
  <c r="F2" i="55"/>
  <c r="F24" i="55"/>
  <c r="F15" i="55"/>
  <c r="F17" i="55"/>
  <c r="F19" i="55"/>
  <c r="F12" i="55"/>
  <c r="F5" i="55"/>
  <c r="F6" i="55"/>
  <c r="F10" i="55"/>
  <c r="F11" i="55"/>
  <c r="F7" i="55"/>
  <c r="F13" i="55"/>
  <c r="F4" i="55"/>
  <c r="F9" i="55"/>
  <c r="F8" i="55"/>
  <c r="F18" i="55"/>
  <c r="F22" i="55"/>
  <c r="F14" i="55"/>
  <c r="F20" i="55"/>
  <c r="F21" i="55"/>
  <c r="F16" i="55"/>
  <c r="F23" i="55"/>
  <c r="F3" i="55"/>
  <c r="E2" i="55"/>
  <c r="E24" i="55"/>
  <c r="E15" i="55"/>
  <c r="E17" i="55"/>
  <c r="E19" i="55"/>
  <c r="E12" i="55"/>
  <c r="E5" i="55"/>
  <c r="E6" i="55"/>
  <c r="E10" i="55"/>
  <c r="E11" i="55"/>
  <c r="E7" i="55"/>
  <c r="E13" i="55"/>
  <c r="E4" i="55"/>
  <c r="E9" i="55"/>
  <c r="E8" i="55"/>
  <c r="E18" i="55"/>
  <c r="E22" i="55"/>
  <c r="E14" i="55"/>
  <c r="E20" i="55"/>
  <c r="E21" i="55"/>
  <c r="E16" i="55"/>
  <c r="E23" i="55"/>
  <c r="E3" i="55"/>
  <c r="D2" i="55"/>
  <c r="D24" i="55"/>
  <c r="D15" i="55"/>
  <c r="D17" i="55"/>
  <c r="D19" i="55"/>
  <c r="D12" i="55"/>
  <c r="D5" i="55"/>
  <c r="D6" i="55"/>
  <c r="D10" i="55"/>
  <c r="D11" i="55"/>
  <c r="D7" i="55"/>
  <c r="D13" i="55"/>
  <c r="D4" i="55"/>
  <c r="D9" i="55"/>
  <c r="D8" i="55"/>
  <c r="D18" i="55"/>
  <c r="D22" i="55"/>
  <c r="D14" i="55"/>
  <c r="D20" i="55"/>
  <c r="D21" i="55"/>
  <c r="D16" i="55"/>
  <c r="D23" i="55"/>
  <c r="D3" i="55"/>
  <c r="C2" i="55"/>
  <c r="C24" i="55"/>
  <c r="C15" i="55"/>
  <c r="C17" i="55"/>
  <c r="C19" i="55"/>
  <c r="C12" i="55"/>
  <c r="C5" i="55"/>
  <c r="C6" i="55"/>
  <c r="C10" i="55"/>
  <c r="C11" i="55"/>
  <c r="C7" i="55"/>
  <c r="C13" i="55"/>
  <c r="C4" i="55"/>
  <c r="C9" i="55"/>
  <c r="C8" i="55"/>
  <c r="C18" i="55"/>
  <c r="C22" i="55"/>
  <c r="C14" i="55"/>
  <c r="C20" i="55"/>
  <c r="C21" i="55"/>
  <c r="C16" i="55"/>
  <c r="C23" i="55"/>
  <c r="C3" i="55"/>
  <c r="A16" i="55"/>
  <c r="A23" i="55"/>
  <c r="A53" i="55" s="1"/>
  <c r="A3" i="55"/>
  <c r="L16" i="55"/>
  <c r="L23" i="55"/>
  <c r="L3" i="55"/>
  <c r="M16" i="55"/>
  <c r="M23" i="55"/>
  <c r="M3" i="55"/>
  <c r="N16" i="55"/>
  <c r="N23" i="55"/>
  <c r="N3" i="55"/>
  <c r="L2" i="55"/>
  <c r="L24" i="55"/>
  <c r="L15" i="55"/>
  <c r="L17" i="55"/>
  <c r="L19" i="55"/>
  <c r="L12" i="55"/>
  <c r="L5" i="55"/>
  <c r="L6" i="55"/>
  <c r="L10" i="55"/>
  <c r="L11" i="55"/>
  <c r="L7" i="55"/>
  <c r="L13" i="55"/>
  <c r="L4" i="55"/>
  <c r="L9" i="55"/>
  <c r="L8" i="55"/>
  <c r="L18" i="55"/>
  <c r="L22" i="55"/>
  <c r="L14" i="55"/>
  <c r="L20" i="55"/>
  <c r="L21" i="55"/>
  <c r="M2" i="55"/>
  <c r="M24" i="55"/>
  <c r="M15" i="55"/>
  <c r="M17" i="55"/>
  <c r="M19" i="55"/>
  <c r="M12" i="55"/>
  <c r="M5" i="55"/>
  <c r="M6" i="55"/>
  <c r="M10" i="55"/>
  <c r="M11" i="55"/>
  <c r="M7" i="55"/>
  <c r="M13" i="55"/>
  <c r="M4" i="55"/>
  <c r="M9" i="55"/>
  <c r="M8" i="55"/>
  <c r="M18" i="55"/>
  <c r="M22" i="55"/>
  <c r="M14" i="55"/>
  <c r="M20" i="55"/>
  <c r="M21" i="55"/>
  <c r="N2" i="55"/>
  <c r="N24" i="55"/>
  <c r="N15" i="55"/>
  <c r="N17" i="55"/>
  <c r="N19" i="55"/>
  <c r="N12" i="55"/>
  <c r="N5" i="55"/>
  <c r="N6" i="55"/>
  <c r="N10" i="55"/>
  <c r="N11" i="55"/>
  <c r="N7" i="55"/>
  <c r="N13" i="55"/>
  <c r="N4" i="55"/>
  <c r="N9" i="55"/>
  <c r="N8" i="55"/>
  <c r="N18" i="55"/>
  <c r="N22" i="55"/>
  <c r="N14" i="55"/>
  <c r="N20" i="55"/>
  <c r="N21" i="55"/>
  <c r="A2" i="55"/>
  <c r="A24" i="55"/>
  <c r="A15" i="55"/>
  <c r="A17" i="55"/>
  <c r="A19" i="55"/>
  <c r="A12" i="55"/>
  <c r="A5" i="55"/>
  <c r="A6" i="55"/>
  <c r="A10" i="55"/>
  <c r="A11" i="55"/>
  <c r="A7" i="55"/>
  <c r="A13" i="55"/>
  <c r="A43" i="55" s="1"/>
  <c r="A4" i="55"/>
  <c r="A9" i="55"/>
  <c r="A8" i="55"/>
  <c r="A18" i="55"/>
  <c r="A22" i="55"/>
  <c r="A14" i="55"/>
  <c r="A20" i="55"/>
  <c r="A21" i="55"/>
  <c r="T69" i="1"/>
  <c r="AF70" i="1"/>
  <c r="AK12" i="56"/>
  <c r="AK11" i="56"/>
  <c r="AU30" i="56"/>
  <c r="AT30" i="56"/>
  <c r="AS30" i="56"/>
  <c r="AR30" i="56"/>
  <c r="AQ30" i="56"/>
  <c r="AP30" i="56"/>
  <c r="AO30" i="56"/>
  <c r="AN30" i="56"/>
  <c r="AM30" i="56"/>
  <c r="AL30" i="56"/>
  <c r="AK30" i="56"/>
  <c r="AJ30" i="56"/>
  <c r="AA30" i="56"/>
  <c r="Z30" i="56"/>
  <c r="Y30" i="56"/>
  <c r="X30" i="56"/>
  <c r="W30" i="56"/>
  <c r="V30" i="56"/>
  <c r="U30" i="56"/>
  <c r="T30" i="56"/>
  <c r="S30" i="56"/>
  <c r="R30" i="56"/>
  <c r="Q30" i="56"/>
  <c r="P30" i="56"/>
  <c r="O30" i="56"/>
  <c r="N30" i="56"/>
  <c r="V6" i="56" s="1"/>
  <c r="M30" i="56"/>
  <c r="L30" i="56"/>
  <c r="K30" i="56"/>
  <c r="J30" i="56"/>
  <c r="I30" i="56"/>
  <c r="H30" i="56"/>
  <c r="E30" i="56"/>
  <c r="AD29" i="56"/>
  <c r="AB29" i="56"/>
  <c r="G29" i="56"/>
  <c r="F29" i="56"/>
  <c r="C29" i="56"/>
  <c r="AD28" i="56"/>
  <c r="AB28" i="56"/>
  <c r="G28" i="56"/>
  <c r="F28" i="56"/>
  <c r="C28" i="56"/>
  <c r="AD27" i="56"/>
  <c r="AB27" i="56"/>
  <c r="G27" i="56"/>
  <c r="F27" i="56"/>
  <c r="C27" i="56"/>
  <c r="AD26" i="56"/>
  <c r="AB26" i="56"/>
  <c r="G26" i="56"/>
  <c r="F26" i="56"/>
  <c r="C26" i="56"/>
  <c r="AD25" i="56"/>
  <c r="AB25" i="56"/>
  <c r="G25" i="56"/>
  <c r="F25" i="56"/>
  <c r="C25" i="56"/>
  <c r="AD24" i="56"/>
  <c r="AB24" i="56"/>
  <c r="G24" i="56"/>
  <c r="F24" i="56"/>
  <c r="C24" i="56"/>
  <c r="AD23" i="56"/>
  <c r="AB23" i="56"/>
  <c r="G23" i="56"/>
  <c r="F23" i="56"/>
  <c r="C23" i="56"/>
  <c r="AD22" i="56"/>
  <c r="AB22" i="56"/>
  <c r="G22" i="56"/>
  <c r="F22" i="56"/>
  <c r="C22" i="56"/>
  <c r="AD21" i="56"/>
  <c r="AB21" i="56"/>
  <c r="G21" i="56"/>
  <c r="F21" i="56"/>
  <c r="C21" i="56"/>
  <c r="AD20" i="56"/>
  <c r="AB20" i="56"/>
  <c r="G20" i="56"/>
  <c r="F20" i="56"/>
  <c r="C20" i="56"/>
  <c r="AD19" i="56"/>
  <c r="AB19" i="56"/>
  <c r="G19" i="56"/>
  <c r="F19" i="56"/>
  <c r="C19" i="56"/>
  <c r="AD18" i="56"/>
  <c r="AB18" i="56"/>
  <c r="G18" i="56"/>
  <c r="F18" i="56"/>
  <c r="C18" i="56"/>
  <c r="AD17" i="56"/>
  <c r="AB17" i="56"/>
  <c r="G17" i="56"/>
  <c r="F17" i="56"/>
  <c r="C17" i="56"/>
  <c r="AD16" i="56"/>
  <c r="AB16" i="56"/>
  <c r="G16" i="56"/>
  <c r="F16" i="56"/>
  <c r="C16" i="56"/>
  <c r="AD15" i="56"/>
  <c r="AB15" i="56"/>
  <c r="G15" i="56"/>
  <c r="F15" i="56"/>
  <c r="C15" i="56"/>
  <c r="AD14" i="56"/>
  <c r="AB14" i="56"/>
  <c r="G14" i="56"/>
  <c r="F14" i="56"/>
  <c r="C14" i="56"/>
  <c r="AD13" i="56"/>
  <c r="AB13" i="56"/>
  <c r="G13" i="56"/>
  <c r="F13" i="56"/>
  <c r="C13" i="56"/>
  <c r="AD12" i="56"/>
  <c r="AB12" i="56"/>
  <c r="G12" i="56"/>
  <c r="F12" i="56"/>
  <c r="C12" i="56"/>
  <c r="AD11" i="56"/>
  <c r="AB11" i="56"/>
  <c r="G11" i="56"/>
  <c r="F11" i="56"/>
  <c r="C11" i="56"/>
  <c r="AD10" i="56"/>
  <c r="AB10" i="56"/>
  <c r="G10" i="56"/>
  <c r="F10" i="56"/>
  <c r="C10" i="56"/>
  <c r="T6" i="56"/>
  <c r="V5" i="56"/>
  <c r="U5" i="56"/>
  <c r="T5" i="56"/>
  <c r="AK11" i="53"/>
  <c r="AK10" i="53"/>
  <c r="C10" i="52"/>
  <c r="F10" i="51"/>
  <c r="G10" i="51"/>
  <c r="F16" i="51"/>
  <c r="G16" i="51"/>
  <c r="F12" i="51"/>
  <c r="G12" i="51"/>
  <c r="F15" i="51"/>
  <c r="G15" i="51"/>
  <c r="F13" i="51"/>
  <c r="G13" i="51"/>
  <c r="AD10" i="51"/>
  <c r="F14" i="51"/>
  <c r="G14" i="51"/>
  <c r="F20" i="51"/>
  <c r="G20" i="51"/>
  <c r="F18" i="51"/>
  <c r="G18" i="51"/>
  <c r="F17" i="51"/>
  <c r="G17" i="51"/>
  <c r="F11" i="51"/>
  <c r="G11" i="51"/>
  <c r="F19" i="51"/>
  <c r="G19" i="51"/>
  <c r="AU30" i="53"/>
  <c r="AT30" i="53"/>
  <c r="AS30" i="53"/>
  <c r="AR30" i="53"/>
  <c r="AQ30" i="53"/>
  <c r="AP30" i="53"/>
  <c r="AO30" i="53"/>
  <c r="AN30" i="53"/>
  <c r="AM30" i="53"/>
  <c r="AL30" i="53"/>
  <c r="AK30" i="53"/>
  <c r="AJ30" i="53"/>
  <c r="AA30" i="53"/>
  <c r="V5" i="53"/>
  <c r="Z30" i="53"/>
  <c r="Y30" i="53"/>
  <c r="X30" i="53"/>
  <c r="W30" i="53"/>
  <c r="V30" i="53"/>
  <c r="U30" i="53"/>
  <c r="T30" i="53"/>
  <c r="S30" i="53"/>
  <c r="R30" i="53"/>
  <c r="Q30" i="53"/>
  <c r="P30" i="53"/>
  <c r="O30" i="53"/>
  <c r="N30" i="53"/>
  <c r="V6" i="53"/>
  <c r="M30" i="53"/>
  <c r="L30" i="53"/>
  <c r="K30" i="53"/>
  <c r="J30" i="53"/>
  <c r="I30" i="53"/>
  <c r="H30" i="53"/>
  <c r="E30" i="53"/>
  <c r="AD29" i="53"/>
  <c r="AB29" i="53"/>
  <c r="G29" i="53"/>
  <c r="F29" i="53"/>
  <c r="C29" i="53"/>
  <c r="AD28" i="53"/>
  <c r="AB28" i="53"/>
  <c r="G28" i="53"/>
  <c r="F28" i="53"/>
  <c r="C28" i="53"/>
  <c r="AD27" i="53"/>
  <c r="AB27" i="53"/>
  <c r="G27" i="53"/>
  <c r="F27" i="53"/>
  <c r="C27" i="53"/>
  <c r="AD26" i="53"/>
  <c r="AB26" i="53"/>
  <c r="G26" i="53"/>
  <c r="F26" i="53"/>
  <c r="C26" i="53"/>
  <c r="AD25" i="53"/>
  <c r="AB25" i="53"/>
  <c r="G25" i="53"/>
  <c r="F25" i="53"/>
  <c r="C25" i="53"/>
  <c r="AD24" i="53"/>
  <c r="AB24" i="53"/>
  <c r="G24" i="53"/>
  <c r="F24" i="53"/>
  <c r="C24" i="53"/>
  <c r="AD23" i="53"/>
  <c r="AB23" i="53"/>
  <c r="G23" i="53"/>
  <c r="F23" i="53"/>
  <c r="C23" i="53"/>
  <c r="AD22" i="53"/>
  <c r="AB22" i="53"/>
  <c r="G22" i="53"/>
  <c r="F22" i="53"/>
  <c r="C22" i="53"/>
  <c r="AD21" i="53"/>
  <c r="AB21" i="53"/>
  <c r="G21" i="53"/>
  <c r="F21" i="53"/>
  <c r="C21" i="53"/>
  <c r="AD20" i="53"/>
  <c r="AB20" i="53"/>
  <c r="G20" i="53"/>
  <c r="F20" i="53"/>
  <c r="C20" i="53"/>
  <c r="AD19" i="53"/>
  <c r="AB19" i="53"/>
  <c r="G19" i="53"/>
  <c r="F19" i="53"/>
  <c r="C19" i="53"/>
  <c r="AD18" i="53"/>
  <c r="AB18" i="53"/>
  <c r="G18" i="53"/>
  <c r="F18" i="53"/>
  <c r="C18" i="53"/>
  <c r="AD17" i="53"/>
  <c r="AB17" i="53"/>
  <c r="G17" i="53"/>
  <c r="F17" i="53"/>
  <c r="C17" i="53"/>
  <c r="AD16" i="53"/>
  <c r="AB16" i="53"/>
  <c r="G16" i="53"/>
  <c r="F16" i="53"/>
  <c r="C16" i="53"/>
  <c r="AD15" i="53"/>
  <c r="AB15" i="53"/>
  <c r="G15" i="53"/>
  <c r="F15" i="53"/>
  <c r="C15" i="53"/>
  <c r="AD14" i="53"/>
  <c r="AB14" i="53"/>
  <c r="G14" i="53"/>
  <c r="F14" i="53"/>
  <c r="C14" i="53"/>
  <c r="AD13" i="53"/>
  <c r="AB13" i="53"/>
  <c r="G13" i="53"/>
  <c r="F13" i="53"/>
  <c r="C13" i="53"/>
  <c r="AD12" i="53"/>
  <c r="AB12" i="53"/>
  <c r="G12" i="53"/>
  <c r="F12" i="53"/>
  <c r="C12" i="53"/>
  <c r="AD11" i="53"/>
  <c r="AB11" i="53"/>
  <c r="G11" i="53"/>
  <c r="F11" i="53"/>
  <c r="C11" i="53"/>
  <c r="AD10" i="53"/>
  <c r="AB10" i="53"/>
  <c r="G10" i="53"/>
  <c r="F10" i="53"/>
  <c r="C10" i="53"/>
  <c r="U6" i="53"/>
  <c r="T6" i="53"/>
  <c r="U5" i="53"/>
  <c r="T5" i="53"/>
  <c r="AU30" i="52"/>
  <c r="AT30" i="52"/>
  <c r="U6" i="52"/>
  <c r="AS30" i="52"/>
  <c r="AR30" i="52"/>
  <c r="AQ30" i="52"/>
  <c r="AP30" i="52"/>
  <c r="AO30" i="52"/>
  <c r="AN30" i="52"/>
  <c r="AM30" i="52"/>
  <c r="AL30" i="52"/>
  <c r="AK30" i="52"/>
  <c r="AJ30" i="52"/>
  <c r="AA30" i="52"/>
  <c r="Z30" i="52"/>
  <c r="Y30" i="52"/>
  <c r="X30" i="52"/>
  <c r="W30" i="52"/>
  <c r="V30" i="52"/>
  <c r="U30" i="52"/>
  <c r="T30" i="52"/>
  <c r="S30" i="52"/>
  <c r="R30" i="52"/>
  <c r="Q30" i="52"/>
  <c r="P30" i="52"/>
  <c r="O30" i="52"/>
  <c r="N30" i="52"/>
  <c r="V6" i="52"/>
  <c r="M30" i="52"/>
  <c r="L30" i="52"/>
  <c r="K30" i="52"/>
  <c r="J30" i="52"/>
  <c r="I30" i="52"/>
  <c r="H30" i="52"/>
  <c r="E30" i="52"/>
  <c r="AD29" i="52"/>
  <c r="AB29" i="52"/>
  <c r="G29" i="52"/>
  <c r="F29" i="52"/>
  <c r="C29" i="52"/>
  <c r="AD28" i="52"/>
  <c r="AB28" i="52"/>
  <c r="G28" i="52"/>
  <c r="F28" i="52"/>
  <c r="C28" i="52"/>
  <c r="AD27" i="52"/>
  <c r="AB27" i="52"/>
  <c r="G27" i="52"/>
  <c r="F27" i="52"/>
  <c r="C27" i="52"/>
  <c r="AD26" i="52"/>
  <c r="AB26" i="52"/>
  <c r="G26" i="52"/>
  <c r="F26" i="52"/>
  <c r="C26" i="52"/>
  <c r="AD25" i="52"/>
  <c r="AB25" i="52"/>
  <c r="G25" i="52"/>
  <c r="F25" i="52"/>
  <c r="C25" i="52"/>
  <c r="AD24" i="52"/>
  <c r="AB24" i="52"/>
  <c r="G24" i="52"/>
  <c r="F24" i="52"/>
  <c r="C24" i="52"/>
  <c r="AD23" i="52"/>
  <c r="AB23" i="52"/>
  <c r="G23" i="52"/>
  <c r="F23" i="52"/>
  <c r="C23" i="52"/>
  <c r="AD22" i="52"/>
  <c r="AB22" i="52"/>
  <c r="G22" i="52"/>
  <c r="F22" i="52"/>
  <c r="C22" i="52"/>
  <c r="AD21" i="52"/>
  <c r="AB21" i="52"/>
  <c r="G21" i="52"/>
  <c r="F21" i="52"/>
  <c r="C21" i="52"/>
  <c r="AD20" i="52"/>
  <c r="AB20" i="52"/>
  <c r="G20" i="52"/>
  <c r="F20" i="52"/>
  <c r="C20" i="52"/>
  <c r="AD19" i="52"/>
  <c r="AB19" i="52"/>
  <c r="G19" i="52"/>
  <c r="F19" i="52"/>
  <c r="C19" i="52"/>
  <c r="AD18" i="52"/>
  <c r="AB18" i="52"/>
  <c r="G18" i="52"/>
  <c r="F18" i="52"/>
  <c r="C18" i="52"/>
  <c r="AD17" i="52"/>
  <c r="AB17" i="52"/>
  <c r="G17" i="52"/>
  <c r="F17" i="52"/>
  <c r="C17" i="52"/>
  <c r="AD16" i="52"/>
  <c r="AB16" i="52"/>
  <c r="G16" i="52"/>
  <c r="F16" i="52"/>
  <c r="C16" i="52"/>
  <c r="AD15" i="52"/>
  <c r="AB15" i="52"/>
  <c r="G15" i="52"/>
  <c r="F15" i="52"/>
  <c r="C15" i="52"/>
  <c r="AD14" i="52"/>
  <c r="AB14" i="52"/>
  <c r="G14" i="52"/>
  <c r="F14" i="52"/>
  <c r="C14" i="52"/>
  <c r="AD13" i="52"/>
  <c r="AB13" i="52"/>
  <c r="G13" i="52"/>
  <c r="F13" i="52"/>
  <c r="C13" i="52"/>
  <c r="AD12" i="52"/>
  <c r="AB12" i="52"/>
  <c r="G12" i="52"/>
  <c r="F12" i="52"/>
  <c r="C12" i="52"/>
  <c r="AD11" i="52"/>
  <c r="AB11" i="52"/>
  <c r="G11" i="52"/>
  <c r="F11" i="52"/>
  <c r="C11" i="52"/>
  <c r="AD10" i="52"/>
  <c r="AB10" i="52"/>
  <c r="G10" i="52"/>
  <c r="F10" i="52"/>
  <c r="T6" i="52"/>
  <c r="V5" i="52"/>
  <c r="T5" i="52"/>
  <c r="AU30" i="51"/>
  <c r="AT30" i="51"/>
  <c r="U5" i="51"/>
  <c r="AS30" i="51"/>
  <c r="AR30" i="51"/>
  <c r="AQ30" i="51"/>
  <c r="AP30" i="51"/>
  <c r="AO30" i="51"/>
  <c r="AN30" i="51"/>
  <c r="AM30" i="51"/>
  <c r="AL30" i="51"/>
  <c r="AK30" i="51"/>
  <c r="AJ30" i="51"/>
  <c r="AA30" i="51"/>
  <c r="V6" i="51"/>
  <c r="Z30" i="51"/>
  <c r="Y30" i="51"/>
  <c r="X30" i="51"/>
  <c r="W30" i="51"/>
  <c r="V30" i="51"/>
  <c r="U30" i="51"/>
  <c r="T30" i="51"/>
  <c r="S30" i="51"/>
  <c r="R30" i="51"/>
  <c r="Q30" i="51"/>
  <c r="P30" i="51"/>
  <c r="O30" i="51"/>
  <c r="N30" i="51"/>
  <c r="V5" i="51"/>
  <c r="M30" i="51"/>
  <c r="L30" i="51"/>
  <c r="K30" i="51"/>
  <c r="J30" i="51"/>
  <c r="I30" i="51"/>
  <c r="H30" i="51"/>
  <c r="E30" i="51"/>
  <c r="AD29" i="51"/>
  <c r="AB29" i="51"/>
  <c r="G29" i="51"/>
  <c r="F29" i="51"/>
  <c r="C29" i="51"/>
  <c r="AD28" i="51"/>
  <c r="AB28" i="51"/>
  <c r="G28" i="51"/>
  <c r="F28" i="51"/>
  <c r="C28" i="51"/>
  <c r="AD27" i="51"/>
  <c r="AB27" i="51"/>
  <c r="G27" i="51"/>
  <c r="F27" i="51"/>
  <c r="C27" i="51"/>
  <c r="AD26" i="51"/>
  <c r="AB26" i="51"/>
  <c r="G26" i="51"/>
  <c r="F26" i="51"/>
  <c r="C26" i="51"/>
  <c r="AD25" i="51"/>
  <c r="AB25" i="51"/>
  <c r="G25" i="51"/>
  <c r="F25" i="51"/>
  <c r="C25" i="51"/>
  <c r="AD24" i="51"/>
  <c r="AB24" i="51"/>
  <c r="G24" i="51"/>
  <c r="F24" i="51"/>
  <c r="C24" i="51"/>
  <c r="AD23" i="51"/>
  <c r="AB23" i="51"/>
  <c r="G23" i="51"/>
  <c r="F23" i="51"/>
  <c r="C23" i="51"/>
  <c r="AD22" i="51"/>
  <c r="AB22" i="51"/>
  <c r="G22" i="51"/>
  <c r="F22" i="51"/>
  <c r="C22" i="51"/>
  <c r="AD21" i="51"/>
  <c r="AB21" i="51"/>
  <c r="G21" i="51"/>
  <c r="F21" i="51"/>
  <c r="C21" i="51"/>
  <c r="AD20" i="51"/>
  <c r="AB20" i="51"/>
  <c r="C20" i="51"/>
  <c r="AD19" i="51"/>
  <c r="AB19" i="51"/>
  <c r="C19" i="51"/>
  <c r="AD18" i="51"/>
  <c r="AB18" i="51"/>
  <c r="F30" i="51"/>
  <c r="C18" i="51"/>
  <c r="AD17" i="51"/>
  <c r="AB17" i="51"/>
  <c r="C17" i="51"/>
  <c r="AD16" i="51"/>
  <c r="AB16" i="51"/>
  <c r="C16" i="51"/>
  <c r="AD15" i="51"/>
  <c r="AB15" i="51"/>
  <c r="C15" i="51"/>
  <c r="AD14" i="51"/>
  <c r="AB14" i="51"/>
  <c r="C14" i="51"/>
  <c r="AD13" i="51"/>
  <c r="AB13" i="51"/>
  <c r="C13" i="51"/>
  <c r="AD12" i="51"/>
  <c r="AB12" i="51"/>
  <c r="C12" i="51"/>
  <c r="AD11" i="51"/>
  <c r="AB11" i="51"/>
  <c r="C11" i="51"/>
  <c r="AB10" i="51"/>
  <c r="C10" i="51"/>
  <c r="T6" i="51"/>
  <c r="T5" i="51"/>
  <c r="AK11" i="49"/>
  <c r="AK10" i="49"/>
  <c r="C10" i="48"/>
  <c r="AU30" i="49"/>
  <c r="AT30" i="49"/>
  <c r="U6" i="49"/>
  <c r="AS30" i="49"/>
  <c r="AR30" i="49"/>
  <c r="AQ30" i="49"/>
  <c r="AP30" i="49"/>
  <c r="AO30" i="49"/>
  <c r="AN30" i="49"/>
  <c r="AM30" i="49"/>
  <c r="AL30" i="49"/>
  <c r="AK30" i="49"/>
  <c r="AJ30" i="49"/>
  <c r="AA30" i="49"/>
  <c r="Z30" i="49"/>
  <c r="Y30" i="49"/>
  <c r="X30" i="49"/>
  <c r="W30" i="49"/>
  <c r="V30" i="49"/>
  <c r="U30" i="49"/>
  <c r="T30" i="49"/>
  <c r="S30" i="49"/>
  <c r="R30" i="49"/>
  <c r="Q30" i="49"/>
  <c r="P30" i="49"/>
  <c r="O30" i="49"/>
  <c r="N30" i="49"/>
  <c r="M30" i="49"/>
  <c r="L30" i="49"/>
  <c r="K30" i="49"/>
  <c r="J30" i="49"/>
  <c r="I30" i="49"/>
  <c r="H30" i="49"/>
  <c r="E30" i="49"/>
  <c r="AD29" i="49"/>
  <c r="AB29" i="49"/>
  <c r="G29" i="49"/>
  <c r="F29" i="49"/>
  <c r="C29" i="49"/>
  <c r="AD28" i="49"/>
  <c r="AB28" i="49"/>
  <c r="G28" i="49"/>
  <c r="F28" i="49"/>
  <c r="C28" i="49"/>
  <c r="AD27" i="49"/>
  <c r="AB27" i="49"/>
  <c r="G27" i="49"/>
  <c r="F27" i="49"/>
  <c r="C27" i="49"/>
  <c r="AD26" i="49"/>
  <c r="AB26" i="49"/>
  <c r="G26" i="49"/>
  <c r="F26" i="49"/>
  <c r="C26" i="49"/>
  <c r="AD25" i="49"/>
  <c r="AB25" i="49"/>
  <c r="G25" i="49"/>
  <c r="F25" i="49"/>
  <c r="C25" i="49"/>
  <c r="AD24" i="49"/>
  <c r="AB24" i="49"/>
  <c r="G24" i="49"/>
  <c r="F24" i="49"/>
  <c r="C24" i="49"/>
  <c r="AD23" i="49"/>
  <c r="AB23" i="49"/>
  <c r="G23" i="49"/>
  <c r="F23" i="49"/>
  <c r="C23" i="49"/>
  <c r="AD22" i="49"/>
  <c r="AB22" i="49"/>
  <c r="G22" i="49"/>
  <c r="F22" i="49"/>
  <c r="C22" i="49"/>
  <c r="AD21" i="49"/>
  <c r="AB21" i="49"/>
  <c r="G21" i="49"/>
  <c r="F21" i="49"/>
  <c r="C21" i="49"/>
  <c r="AD20" i="49"/>
  <c r="AB20" i="49"/>
  <c r="G20" i="49"/>
  <c r="F20" i="49"/>
  <c r="C20" i="49"/>
  <c r="AD19" i="49"/>
  <c r="AB19" i="49"/>
  <c r="G19" i="49"/>
  <c r="F19" i="49"/>
  <c r="C19" i="49"/>
  <c r="AD18" i="49"/>
  <c r="AB18" i="49"/>
  <c r="G18" i="49"/>
  <c r="F18" i="49"/>
  <c r="C18" i="49"/>
  <c r="AD17" i="49"/>
  <c r="AB17" i="49"/>
  <c r="G17" i="49"/>
  <c r="F17" i="49"/>
  <c r="C17" i="49"/>
  <c r="AD16" i="49"/>
  <c r="AB16" i="49"/>
  <c r="G16" i="49"/>
  <c r="F16" i="49"/>
  <c r="C16" i="49"/>
  <c r="AD15" i="49"/>
  <c r="AB15" i="49"/>
  <c r="G15" i="49"/>
  <c r="F15" i="49"/>
  <c r="C15" i="49"/>
  <c r="AD14" i="49"/>
  <c r="AB14" i="49"/>
  <c r="G14" i="49"/>
  <c r="F14" i="49"/>
  <c r="C14" i="49"/>
  <c r="AD13" i="49"/>
  <c r="AB13" i="49"/>
  <c r="G13" i="49"/>
  <c r="F13" i="49"/>
  <c r="C13" i="49"/>
  <c r="AD12" i="49"/>
  <c r="AB12" i="49"/>
  <c r="G12" i="49"/>
  <c r="F12" i="49"/>
  <c r="C12" i="49"/>
  <c r="AD11" i="49"/>
  <c r="AB11" i="49"/>
  <c r="G11" i="49"/>
  <c r="F11" i="49"/>
  <c r="C11" i="49"/>
  <c r="AD10" i="49"/>
  <c r="AB10" i="49"/>
  <c r="G10" i="49"/>
  <c r="F10" i="49"/>
  <c r="C10" i="49"/>
  <c r="T6" i="49"/>
  <c r="T5" i="49"/>
  <c r="AU30" i="48"/>
  <c r="AT30" i="48"/>
  <c r="U6" i="48"/>
  <c r="AS30" i="48"/>
  <c r="AR30" i="48"/>
  <c r="AQ30" i="48"/>
  <c r="AP30" i="48"/>
  <c r="AO30" i="48"/>
  <c r="AN30" i="48"/>
  <c r="AM30" i="48"/>
  <c r="AL30" i="48"/>
  <c r="AK30" i="48"/>
  <c r="AJ30" i="48"/>
  <c r="AA30" i="48"/>
  <c r="Z30" i="48"/>
  <c r="Y30" i="48"/>
  <c r="X30" i="48"/>
  <c r="W30" i="48"/>
  <c r="V30" i="48"/>
  <c r="U30" i="48"/>
  <c r="T30" i="48"/>
  <c r="S30" i="48"/>
  <c r="R30" i="48"/>
  <c r="Q30" i="48"/>
  <c r="P30" i="48"/>
  <c r="O30" i="48"/>
  <c r="N30" i="48"/>
  <c r="M30" i="48"/>
  <c r="L30" i="48"/>
  <c r="K30" i="48"/>
  <c r="J30" i="48"/>
  <c r="I30" i="48"/>
  <c r="H30" i="48"/>
  <c r="E30" i="48"/>
  <c r="AD29" i="48"/>
  <c r="AB29" i="48"/>
  <c r="G29" i="48"/>
  <c r="F29" i="48"/>
  <c r="C29" i="48"/>
  <c r="AD28" i="48"/>
  <c r="AB28" i="48"/>
  <c r="G28" i="48"/>
  <c r="F28" i="48"/>
  <c r="C28" i="48"/>
  <c r="AD27" i="48"/>
  <c r="AB27" i="48"/>
  <c r="G27" i="48"/>
  <c r="F27" i="48"/>
  <c r="C27" i="48"/>
  <c r="AD26" i="48"/>
  <c r="AB26" i="48"/>
  <c r="G26" i="48"/>
  <c r="F26" i="48"/>
  <c r="C26" i="48"/>
  <c r="AD25" i="48"/>
  <c r="AB25" i="48"/>
  <c r="G25" i="48"/>
  <c r="F25" i="48"/>
  <c r="C25" i="48"/>
  <c r="AD24" i="48"/>
  <c r="AB24" i="48"/>
  <c r="G24" i="48"/>
  <c r="F24" i="48"/>
  <c r="C24" i="48"/>
  <c r="AD23" i="48"/>
  <c r="AB23" i="48"/>
  <c r="G23" i="48"/>
  <c r="F23" i="48"/>
  <c r="C23" i="48"/>
  <c r="AD22" i="48"/>
  <c r="AB22" i="48"/>
  <c r="G22" i="48"/>
  <c r="F22" i="48"/>
  <c r="C22" i="48"/>
  <c r="AD21" i="48"/>
  <c r="AB21" i="48"/>
  <c r="G21" i="48"/>
  <c r="F21" i="48"/>
  <c r="C21" i="48"/>
  <c r="AD20" i="48"/>
  <c r="AB20" i="48"/>
  <c r="G20" i="48"/>
  <c r="F20" i="48"/>
  <c r="C20" i="48"/>
  <c r="AD19" i="48"/>
  <c r="AB19" i="48"/>
  <c r="G19" i="48"/>
  <c r="F19" i="48"/>
  <c r="C19" i="48"/>
  <c r="AD18" i="48"/>
  <c r="AB18" i="48"/>
  <c r="G18" i="48"/>
  <c r="F18" i="48"/>
  <c r="C18" i="48"/>
  <c r="AD17" i="48"/>
  <c r="AB17" i="48"/>
  <c r="G17" i="48"/>
  <c r="F17" i="48"/>
  <c r="C17" i="48"/>
  <c r="AD16" i="48"/>
  <c r="AB16" i="48"/>
  <c r="G16" i="48"/>
  <c r="F16" i="48"/>
  <c r="C16" i="48"/>
  <c r="AD15" i="48"/>
  <c r="AB15" i="48"/>
  <c r="G15" i="48"/>
  <c r="F15" i="48"/>
  <c r="C15" i="48"/>
  <c r="AD14" i="48"/>
  <c r="AB14" i="48"/>
  <c r="G14" i="48"/>
  <c r="F14" i="48"/>
  <c r="C14" i="48"/>
  <c r="AD13" i="48"/>
  <c r="AB13" i="48"/>
  <c r="G13" i="48"/>
  <c r="F13" i="48"/>
  <c r="C13" i="48"/>
  <c r="AD12" i="48"/>
  <c r="AB12" i="48"/>
  <c r="G12" i="48"/>
  <c r="F12" i="48"/>
  <c r="C12" i="48"/>
  <c r="AD11" i="48"/>
  <c r="AB11" i="48"/>
  <c r="G11" i="48"/>
  <c r="F11" i="48"/>
  <c r="C11" i="48"/>
  <c r="AD10" i="48"/>
  <c r="AB10" i="48"/>
  <c r="G10" i="48"/>
  <c r="F10" i="48"/>
  <c r="T6" i="48"/>
  <c r="T5" i="48"/>
  <c r="AK10" i="47"/>
  <c r="U6" i="51"/>
  <c r="G30" i="51"/>
  <c r="D31" i="51"/>
  <c r="F30" i="49"/>
  <c r="G30" i="49"/>
  <c r="F30" i="48"/>
  <c r="G30" i="48"/>
  <c r="V6" i="49"/>
  <c r="V5" i="49"/>
  <c r="V6" i="48"/>
  <c r="V5" i="48"/>
  <c r="AU30" i="47"/>
  <c r="AT30" i="47"/>
  <c r="U6" i="47"/>
  <c r="AS30" i="47"/>
  <c r="AR30" i="47"/>
  <c r="AQ30" i="47"/>
  <c r="AP30" i="47"/>
  <c r="AO30" i="47"/>
  <c r="AN30" i="47"/>
  <c r="AM30" i="47"/>
  <c r="AL30" i="47"/>
  <c r="AK30" i="47"/>
  <c r="AJ30" i="47"/>
  <c r="AA30" i="47"/>
  <c r="Z30" i="47"/>
  <c r="Y30" i="47"/>
  <c r="X30" i="47"/>
  <c r="W30" i="47"/>
  <c r="V30" i="47"/>
  <c r="U30" i="47"/>
  <c r="T30" i="47"/>
  <c r="S30" i="47"/>
  <c r="R30" i="47"/>
  <c r="Q30" i="47"/>
  <c r="P30" i="47"/>
  <c r="O30" i="47"/>
  <c r="N30" i="47"/>
  <c r="M30" i="47"/>
  <c r="L30" i="47"/>
  <c r="K30" i="47"/>
  <c r="J30" i="47"/>
  <c r="I30" i="47"/>
  <c r="H30" i="47"/>
  <c r="E30" i="47"/>
  <c r="AD29" i="47"/>
  <c r="AB29" i="47"/>
  <c r="G29" i="47"/>
  <c r="F29" i="47"/>
  <c r="C29" i="47"/>
  <c r="AD28" i="47"/>
  <c r="AB28" i="47"/>
  <c r="G28" i="47"/>
  <c r="F28" i="47"/>
  <c r="C28" i="47"/>
  <c r="AD27" i="47"/>
  <c r="AB27" i="47"/>
  <c r="G27" i="47"/>
  <c r="F27" i="47"/>
  <c r="C27" i="47"/>
  <c r="AD26" i="47"/>
  <c r="AB26" i="47"/>
  <c r="G26" i="47"/>
  <c r="F26" i="47"/>
  <c r="C26" i="47"/>
  <c r="AD25" i="47"/>
  <c r="AB25" i="47"/>
  <c r="G25" i="47"/>
  <c r="F25" i="47"/>
  <c r="C25" i="47"/>
  <c r="AD24" i="47"/>
  <c r="AB24" i="47"/>
  <c r="G24" i="47"/>
  <c r="F24" i="47"/>
  <c r="C24" i="47"/>
  <c r="AD23" i="47"/>
  <c r="AB23" i="47"/>
  <c r="G23" i="47"/>
  <c r="F23" i="47"/>
  <c r="C23" i="47"/>
  <c r="AD22" i="47"/>
  <c r="AB22" i="47"/>
  <c r="G22" i="47"/>
  <c r="F22" i="47"/>
  <c r="C22" i="47"/>
  <c r="AD21" i="47"/>
  <c r="AB21" i="47"/>
  <c r="G21" i="47"/>
  <c r="F21" i="47"/>
  <c r="C21" i="47"/>
  <c r="AD20" i="47"/>
  <c r="AB20" i="47"/>
  <c r="G20" i="47"/>
  <c r="F20" i="47"/>
  <c r="C20" i="47"/>
  <c r="AD19" i="47"/>
  <c r="AB19" i="47"/>
  <c r="G19" i="47"/>
  <c r="F19" i="47"/>
  <c r="C19" i="47"/>
  <c r="AD18" i="47"/>
  <c r="AB18" i="47"/>
  <c r="G18" i="47"/>
  <c r="F18" i="47"/>
  <c r="C18" i="47"/>
  <c r="AD17" i="47"/>
  <c r="AB17" i="47"/>
  <c r="G17" i="47"/>
  <c r="F17" i="47"/>
  <c r="C17" i="47"/>
  <c r="AD16" i="47"/>
  <c r="AB16" i="47"/>
  <c r="G16" i="47"/>
  <c r="F16" i="47"/>
  <c r="C16" i="47"/>
  <c r="AD15" i="47"/>
  <c r="AB15" i="47"/>
  <c r="G15" i="47"/>
  <c r="F15" i="47"/>
  <c r="C15" i="47"/>
  <c r="AD14" i="47"/>
  <c r="AB14" i="47"/>
  <c r="G14" i="47"/>
  <c r="F14" i="47"/>
  <c r="C14" i="47"/>
  <c r="AD13" i="47"/>
  <c r="AB13" i="47"/>
  <c r="G13" i="47"/>
  <c r="F13" i="47"/>
  <c r="C13" i="47"/>
  <c r="AD12" i="47"/>
  <c r="AB12" i="47"/>
  <c r="G12" i="47"/>
  <c r="F12" i="47"/>
  <c r="C12" i="47"/>
  <c r="AD11" i="47"/>
  <c r="AB11" i="47"/>
  <c r="G11" i="47"/>
  <c r="F11" i="47"/>
  <c r="C11" i="47"/>
  <c r="AD10" i="47"/>
  <c r="AB10" i="47"/>
  <c r="G10" i="47"/>
  <c r="F10" i="47"/>
  <c r="C10" i="47"/>
  <c r="T6" i="47"/>
  <c r="T5" i="47"/>
  <c r="AU30" i="46"/>
  <c r="AT30" i="46"/>
  <c r="U5" i="46"/>
  <c r="AS30" i="46"/>
  <c r="AR30" i="46"/>
  <c r="AQ30" i="46"/>
  <c r="AP30" i="46"/>
  <c r="AO30" i="46"/>
  <c r="AN30" i="46"/>
  <c r="AM30" i="46"/>
  <c r="AL30" i="46"/>
  <c r="AK30" i="46"/>
  <c r="AJ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E30" i="46"/>
  <c r="AD29" i="46"/>
  <c r="AB29" i="46"/>
  <c r="G29" i="46"/>
  <c r="F29" i="46"/>
  <c r="C29" i="46"/>
  <c r="AD28" i="46"/>
  <c r="AB28" i="46"/>
  <c r="G28" i="46"/>
  <c r="F28" i="46"/>
  <c r="C28" i="46"/>
  <c r="AD27" i="46"/>
  <c r="AB27" i="46"/>
  <c r="G27" i="46"/>
  <c r="F27" i="46"/>
  <c r="C27" i="46"/>
  <c r="AD26" i="46"/>
  <c r="AB26" i="46"/>
  <c r="G26" i="46"/>
  <c r="F26" i="46"/>
  <c r="C26" i="46"/>
  <c r="AD25" i="46"/>
  <c r="AB25" i="46"/>
  <c r="G25" i="46"/>
  <c r="F25" i="46"/>
  <c r="C25" i="46"/>
  <c r="AD24" i="46"/>
  <c r="AB24" i="46"/>
  <c r="G24" i="46"/>
  <c r="F24" i="46"/>
  <c r="C24" i="46"/>
  <c r="AD23" i="46"/>
  <c r="AB23" i="46"/>
  <c r="G23" i="46"/>
  <c r="F23" i="46"/>
  <c r="C23" i="46"/>
  <c r="AD22" i="46"/>
  <c r="AB22" i="46"/>
  <c r="G22" i="46"/>
  <c r="F22" i="46"/>
  <c r="C22" i="46"/>
  <c r="AD21" i="46"/>
  <c r="AB21" i="46"/>
  <c r="G21" i="46"/>
  <c r="F21" i="46"/>
  <c r="C21" i="46"/>
  <c r="AD20" i="46"/>
  <c r="AB20" i="46"/>
  <c r="G20" i="46"/>
  <c r="F20" i="46"/>
  <c r="C20" i="46"/>
  <c r="AD19" i="46"/>
  <c r="AB19" i="46"/>
  <c r="G19" i="46"/>
  <c r="F19" i="46"/>
  <c r="C19" i="46"/>
  <c r="AD18" i="46"/>
  <c r="AB18" i="46"/>
  <c r="G18" i="46"/>
  <c r="F18" i="46"/>
  <c r="C18" i="46"/>
  <c r="AD17" i="46"/>
  <c r="AB17" i="46"/>
  <c r="G17" i="46"/>
  <c r="F17" i="46"/>
  <c r="C17" i="46"/>
  <c r="AD16" i="46"/>
  <c r="AB16" i="46"/>
  <c r="G16" i="46"/>
  <c r="F16" i="46"/>
  <c r="C16" i="46"/>
  <c r="AD15" i="46"/>
  <c r="AB15" i="46"/>
  <c r="G15" i="46"/>
  <c r="F15" i="46"/>
  <c r="C15" i="46"/>
  <c r="AD14" i="46"/>
  <c r="AB14" i="46"/>
  <c r="G14" i="46"/>
  <c r="F14" i="46"/>
  <c r="C14" i="46"/>
  <c r="AD13" i="46"/>
  <c r="AB13" i="46"/>
  <c r="G13" i="46"/>
  <c r="F13" i="46"/>
  <c r="C13" i="46"/>
  <c r="AD12" i="46"/>
  <c r="AB12" i="46"/>
  <c r="G12" i="46"/>
  <c r="F12" i="46"/>
  <c r="C12" i="46"/>
  <c r="AD11" i="46"/>
  <c r="AB11" i="46"/>
  <c r="G11" i="46"/>
  <c r="F11" i="46"/>
  <c r="C11" i="46"/>
  <c r="AD10" i="46"/>
  <c r="AB10" i="46"/>
  <c r="G10" i="46"/>
  <c r="F10" i="46"/>
  <c r="C10" i="46"/>
  <c r="T6" i="46"/>
  <c r="T5" i="46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10" i="1"/>
  <c r="AD11" i="43"/>
  <c r="AD12" i="43"/>
  <c r="AD13" i="43"/>
  <c r="AD14" i="43"/>
  <c r="AD15" i="43"/>
  <c r="AD16" i="43"/>
  <c r="AD17" i="43"/>
  <c r="AD18" i="43"/>
  <c r="AD19" i="43"/>
  <c r="AD20" i="43"/>
  <c r="AD21" i="43"/>
  <c r="AD22" i="43"/>
  <c r="AD23" i="43"/>
  <c r="AD24" i="43"/>
  <c r="AD25" i="43"/>
  <c r="AD26" i="43"/>
  <c r="AD27" i="43"/>
  <c r="AD28" i="43"/>
  <c r="AD29" i="43"/>
  <c r="AD10" i="43"/>
  <c r="G12" i="43"/>
  <c r="F12" i="43"/>
  <c r="G10" i="43"/>
  <c r="F10" i="43"/>
  <c r="G17" i="43"/>
  <c r="F17" i="43"/>
  <c r="G19" i="43"/>
  <c r="F19" i="43"/>
  <c r="G11" i="43"/>
  <c r="F11" i="43"/>
  <c r="G16" i="43"/>
  <c r="F16" i="43"/>
  <c r="G18" i="43"/>
  <c r="F18" i="43"/>
  <c r="G14" i="43"/>
  <c r="F14" i="43"/>
  <c r="G13" i="43"/>
  <c r="G15" i="43"/>
  <c r="G20" i="43"/>
  <c r="G21" i="43"/>
  <c r="G22" i="43"/>
  <c r="G23" i="43"/>
  <c r="G24" i="43"/>
  <c r="G25" i="43"/>
  <c r="G26" i="43"/>
  <c r="G27" i="43"/>
  <c r="G28" i="43"/>
  <c r="G29" i="43"/>
  <c r="G30" i="43"/>
  <c r="F13" i="43"/>
  <c r="F15" i="43"/>
  <c r="F20" i="43"/>
  <c r="F21" i="43"/>
  <c r="F22" i="43"/>
  <c r="F23" i="43"/>
  <c r="F24" i="43"/>
  <c r="F25" i="43"/>
  <c r="F26" i="43"/>
  <c r="F27" i="43"/>
  <c r="F28" i="43"/>
  <c r="F29" i="43"/>
  <c r="F30" i="43"/>
  <c r="D31" i="43"/>
  <c r="AU30" i="43"/>
  <c r="AT30" i="43"/>
  <c r="AS30" i="43"/>
  <c r="AR30" i="43"/>
  <c r="AQ30" i="43"/>
  <c r="AP30" i="43"/>
  <c r="AO30" i="43"/>
  <c r="AN30" i="43"/>
  <c r="AM30" i="43"/>
  <c r="AL30" i="43"/>
  <c r="AK30" i="43"/>
  <c r="AJ30" i="43"/>
  <c r="AA30" i="43"/>
  <c r="Z30" i="43"/>
  <c r="Y30" i="43"/>
  <c r="X30" i="43"/>
  <c r="W30" i="43"/>
  <c r="V30" i="43"/>
  <c r="U30" i="43"/>
  <c r="T30" i="43"/>
  <c r="S30" i="43"/>
  <c r="R30" i="43"/>
  <c r="Q30" i="43"/>
  <c r="P30" i="43"/>
  <c r="O30" i="43"/>
  <c r="N30" i="43"/>
  <c r="M30" i="43"/>
  <c r="L30" i="43"/>
  <c r="K30" i="43"/>
  <c r="J30" i="43"/>
  <c r="I30" i="43"/>
  <c r="H30" i="43"/>
  <c r="E30" i="43"/>
  <c r="AB29" i="43"/>
  <c r="C29" i="43"/>
  <c r="AB28" i="43"/>
  <c r="C28" i="43"/>
  <c r="AB27" i="43"/>
  <c r="C27" i="43"/>
  <c r="AB26" i="43"/>
  <c r="C26" i="43"/>
  <c r="AB25" i="43"/>
  <c r="C25" i="43"/>
  <c r="AB24" i="43"/>
  <c r="C24" i="43"/>
  <c r="AB23" i="43"/>
  <c r="C23" i="43"/>
  <c r="AB22" i="43"/>
  <c r="C22" i="43"/>
  <c r="AB21" i="43"/>
  <c r="C21" i="43"/>
  <c r="AB20" i="43"/>
  <c r="C20" i="43"/>
  <c r="AB19" i="43"/>
  <c r="C19" i="43"/>
  <c r="AB18" i="43"/>
  <c r="C18" i="43"/>
  <c r="AB17" i="43"/>
  <c r="C17" i="43"/>
  <c r="AB16" i="43"/>
  <c r="C16" i="43"/>
  <c r="AB15" i="43"/>
  <c r="C15" i="43"/>
  <c r="AB14" i="43"/>
  <c r="C14" i="43"/>
  <c r="AB13" i="43"/>
  <c r="C13" i="43"/>
  <c r="AB12" i="43"/>
  <c r="C12" i="43"/>
  <c r="AB11" i="43"/>
  <c r="C11" i="43"/>
  <c r="AB10" i="43"/>
  <c r="C10" i="43"/>
  <c r="V6" i="43"/>
  <c r="U6" i="43"/>
  <c r="T6" i="43"/>
  <c r="V5" i="43"/>
  <c r="U5" i="43"/>
  <c r="T5" i="43"/>
  <c r="AU30" i="35"/>
  <c r="AT30" i="35"/>
  <c r="AS30" i="35"/>
  <c r="AR30" i="35"/>
  <c r="AQ30" i="35"/>
  <c r="AP30" i="35"/>
  <c r="AO30" i="35"/>
  <c r="AN30" i="35"/>
  <c r="AM30" i="35"/>
  <c r="AL30" i="35"/>
  <c r="AK30" i="35"/>
  <c r="AJ30" i="35"/>
  <c r="AA30" i="35"/>
  <c r="Z30" i="35"/>
  <c r="Y30" i="35"/>
  <c r="X30" i="35"/>
  <c r="W30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E30" i="35"/>
  <c r="AU30" i="38"/>
  <c r="AT30" i="38"/>
  <c r="AS30" i="38"/>
  <c r="AR30" i="38"/>
  <c r="AQ30" i="38"/>
  <c r="AP30" i="38"/>
  <c r="AO30" i="38"/>
  <c r="AN30" i="38"/>
  <c r="AM30" i="38"/>
  <c r="AL30" i="38"/>
  <c r="AK30" i="38"/>
  <c r="AJ30" i="38"/>
  <c r="AA30" i="38"/>
  <c r="Z30" i="38"/>
  <c r="Y30" i="38"/>
  <c r="X30" i="38"/>
  <c r="W30" i="38"/>
  <c r="V30" i="38"/>
  <c r="U30" i="38"/>
  <c r="T30" i="38"/>
  <c r="S30" i="38"/>
  <c r="R30" i="38"/>
  <c r="Q30" i="38"/>
  <c r="P30" i="38"/>
  <c r="O30" i="38"/>
  <c r="N30" i="38"/>
  <c r="M30" i="38"/>
  <c r="L30" i="38"/>
  <c r="K30" i="38"/>
  <c r="J30" i="38"/>
  <c r="I30" i="38"/>
  <c r="H30" i="38"/>
  <c r="E30" i="38"/>
  <c r="AU30" i="39"/>
  <c r="AT30" i="39"/>
  <c r="AS30" i="39"/>
  <c r="AR30" i="39"/>
  <c r="AQ30" i="39"/>
  <c r="AP30" i="39"/>
  <c r="AO30" i="39"/>
  <c r="AN30" i="39"/>
  <c r="AM30" i="39"/>
  <c r="AL30" i="39"/>
  <c r="AK30" i="39"/>
  <c r="AJ30" i="39"/>
  <c r="AA30" i="39"/>
  <c r="Z30" i="39"/>
  <c r="Y30" i="39"/>
  <c r="X30" i="39"/>
  <c r="W30" i="39"/>
  <c r="V30" i="39"/>
  <c r="U30" i="39"/>
  <c r="T30" i="39"/>
  <c r="S30" i="39"/>
  <c r="R30" i="39"/>
  <c r="Q30" i="39"/>
  <c r="P30" i="39"/>
  <c r="O30" i="39"/>
  <c r="N30" i="39"/>
  <c r="M30" i="39"/>
  <c r="L30" i="39"/>
  <c r="K30" i="39"/>
  <c r="J30" i="39"/>
  <c r="I30" i="39"/>
  <c r="H30" i="39"/>
  <c r="E30" i="39"/>
  <c r="AU30" i="40"/>
  <c r="AT30" i="40"/>
  <c r="AS30" i="40"/>
  <c r="AR30" i="40"/>
  <c r="AQ30" i="40"/>
  <c r="AP30" i="40"/>
  <c r="AO30" i="40"/>
  <c r="AN30" i="40"/>
  <c r="AM30" i="40"/>
  <c r="AL30" i="40"/>
  <c r="AK30" i="40"/>
  <c r="AJ30" i="40"/>
  <c r="AA30" i="40"/>
  <c r="Z30" i="40"/>
  <c r="Y30" i="40"/>
  <c r="X30" i="40"/>
  <c r="W30" i="40"/>
  <c r="V30" i="40"/>
  <c r="U30" i="40"/>
  <c r="T30" i="40"/>
  <c r="S30" i="40"/>
  <c r="R30" i="40"/>
  <c r="Q30" i="40"/>
  <c r="P30" i="40"/>
  <c r="O30" i="40"/>
  <c r="N30" i="40"/>
  <c r="M30" i="40"/>
  <c r="L30" i="40"/>
  <c r="K30" i="40"/>
  <c r="J30" i="40"/>
  <c r="I30" i="40"/>
  <c r="H30" i="40"/>
  <c r="E30" i="40"/>
  <c r="AS30" i="1"/>
  <c r="AT30" i="1"/>
  <c r="U5" i="1"/>
  <c r="AD29" i="35"/>
  <c r="AD28" i="35"/>
  <c r="AD27" i="35"/>
  <c r="AD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29" i="38"/>
  <c r="AD28" i="38"/>
  <c r="AD27" i="38"/>
  <c r="AD26" i="38"/>
  <c r="AD25" i="38"/>
  <c r="AD24" i="38"/>
  <c r="AD23" i="38"/>
  <c r="AD22" i="38"/>
  <c r="AD21" i="38"/>
  <c r="AD20" i="38"/>
  <c r="AD19" i="38"/>
  <c r="AD18" i="38"/>
  <c r="AD17" i="38"/>
  <c r="AD16" i="38"/>
  <c r="AD15" i="38"/>
  <c r="AD14" i="38"/>
  <c r="AD13" i="38"/>
  <c r="AD12" i="38"/>
  <c r="AD11" i="38"/>
  <c r="AD10" i="38"/>
  <c r="AD29" i="39"/>
  <c r="AD28" i="39"/>
  <c r="AD27" i="39"/>
  <c r="AD26" i="39"/>
  <c r="AD25" i="39"/>
  <c r="AD24" i="39"/>
  <c r="AD23" i="39"/>
  <c r="AD22" i="39"/>
  <c r="AD21" i="39"/>
  <c r="AD20" i="39"/>
  <c r="AD19" i="39"/>
  <c r="AD18" i="39"/>
  <c r="AD17" i="39"/>
  <c r="AD16" i="39"/>
  <c r="AD15" i="39"/>
  <c r="AD14" i="39"/>
  <c r="AD13" i="39"/>
  <c r="AD12" i="39"/>
  <c r="AD11" i="39"/>
  <c r="AD10" i="39"/>
  <c r="AD11" i="40"/>
  <c r="AD12" i="40"/>
  <c r="AD13" i="40"/>
  <c r="AD14" i="40"/>
  <c r="AD15" i="40"/>
  <c r="AD16" i="40"/>
  <c r="AD17" i="40"/>
  <c r="AD18" i="40"/>
  <c r="AD19" i="40"/>
  <c r="AD20" i="40"/>
  <c r="AD21" i="40"/>
  <c r="AD22" i="40"/>
  <c r="AD23" i="40"/>
  <c r="AD24" i="40"/>
  <c r="AD25" i="40"/>
  <c r="AD26" i="40"/>
  <c r="AD27" i="40"/>
  <c r="AD28" i="40"/>
  <c r="AD29" i="40"/>
  <c r="AD10" i="40"/>
  <c r="G29" i="35"/>
  <c r="F29" i="35"/>
  <c r="G28" i="35"/>
  <c r="F28" i="35"/>
  <c r="G27" i="35"/>
  <c r="F27" i="35"/>
  <c r="G26" i="35"/>
  <c r="F26" i="35"/>
  <c r="G25" i="35"/>
  <c r="F25" i="35"/>
  <c r="G24" i="35"/>
  <c r="F24" i="35"/>
  <c r="G23" i="35"/>
  <c r="F23" i="35"/>
  <c r="G22" i="35"/>
  <c r="G30" i="35"/>
  <c r="F22" i="35"/>
  <c r="F30" i="35"/>
  <c r="G21" i="35"/>
  <c r="F21" i="35"/>
  <c r="G20" i="35"/>
  <c r="F20" i="35"/>
  <c r="G19" i="35"/>
  <c r="F19" i="35"/>
  <c r="G18" i="35"/>
  <c r="F18" i="35"/>
  <c r="G17" i="35"/>
  <c r="F17" i="35"/>
  <c r="G16" i="35"/>
  <c r="F16" i="35"/>
  <c r="G15" i="35"/>
  <c r="F15" i="35"/>
  <c r="G14" i="35"/>
  <c r="F14" i="35"/>
  <c r="G13" i="35"/>
  <c r="F13" i="35"/>
  <c r="G12" i="35"/>
  <c r="F12" i="35"/>
  <c r="G11" i="35"/>
  <c r="F11" i="35"/>
  <c r="G10" i="35"/>
  <c r="F10" i="35"/>
  <c r="G29" i="38"/>
  <c r="F29" i="38"/>
  <c r="G28" i="38"/>
  <c r="F28" i="38"/>
  <c r="G27" i="38"/>
  <c r="F27" i="38"/>
  <c r="G26" i="38"/>
  <c r="F26" i="38"/>
  <c r="G25" i="38"/>
  <c r="F25" i="38"/>
  <c r="F30" i="38"/>
  <c r="G24" i="38"/>
  <c r="G30" i="38"/>
  <c r="F24" i="38"/>
  <c r="G23" i="38"/>
  <c r="F23" i="38"/>
  <c r="G22" i="38"/>
  <c r="F22" i="38"/>
  <c r="G21" i="38"/>
  <c r="F21" i="38"/>
  <c r="G20" i="38"/>
  <c r="F20" i="38"/>
  <c r="G19" i="38"/>
  <c r="F19" i="38"/>
  <c r="G18" i="38"/>
  <c r="F18" i="38"/>
  <c r="G17" i="38"/>
  <c r="F17" i="38"/>
  <c r="G16" i="38"/>
  <c r="F16" i="38"/>
  <c r="G15" i="38"/>
  <c r="F15" i="38"/>
  <c r="G14" i="38"/>
  <c r="F14" i="38"/>
  <c r="G13" i="38"/>
  <c r="F13" i="38"/>
  <c r="G12" i="38"/>
  <c r="F12" i="38"/>
  <c r="G11" i="38"/>
  <c r="F11" i="38"/>
  <c r="G10" i="38"/>
  <c r="F10" i="38"/>
  <c r="G29" i="39"/>
  <c r="F29" i="39"/>
  <c r="G28" i="39"/>
  <c r="F28" i="39"/>
  <c r="G27" i="39"/>
  <c r="F27" i="39"/>
  <c r="G26" i="39"/>
  <c r="F26" i="39"/>
  <c r="G25" i="39"/>
  <c r="G30" i="39"/>
  <c r="F25" i="39"/>
  <c r="F30" i="39"/>
  <c r="G24" i="39"/>
  <c r="F24" i="39"/>
  <c r="G23" i="39"/>
  <c r="F23" i="39"/>
  <c r="G22" i="39"/>
  <c r="F22" i="39"/>
  <c r="G21" i="39"/>
  <c r="F21" i="39"/>
  <c r="G20" i="39"/>
  <c r="F20" i="39"/>
  <c r="G19" i="39"/>
  <c r="F19" i="39"/>
  <c r="G18" i="39"/>
  <c r="F18" i="39"/>
  <c r="G17" i="39"/>
  <c r="F17" i="39"/>
  <c r="G16" i="39"/>
  <c r="F16" i="39"/>
  <c r="G15" i="39"/>
  <c r="F15" i="39"/>
  <c r="G14" i="39"/>
  <c r="F14" i="39"/>
  <c r="G13" i="39"/>
  <c r="F13" i="39"/>
  <c r="G12" i="39"/>
  <c r="F12" i="39"/>
  <c r="G11" i="39"/>
  <c r="F11" i="39"/>
  <c r="G10" i="39"/>
  <c r="F10" i="39"/>
  <c r="G29" i="40"/>
  <c r="F29" i="40"/>
  <c r="G28" i="40"/>
  <c r="F28" i="40"/>
  <c r="G27" i="40"/>
  <c r="F27" i="40"/>
  <c r="G26" i="40"/>
  <c r="F26" i="40"/>
  <c r="G25" i="40"/>
  <c r="F25" i="40"/>
  <c r="G24" i="40"/>
  <c r="F24" i="40"/>
  <c r="G23" i="40"/>
  <c r="F23" i="40"/>
  <c r="G22" i="40"/>
  <c r="F22" i="40"/>
  <c r="G21" i="40"/>
  <c r="G30" i="40"/>
  <c r="F21" i="40"/>
  <c r="F30" i="40"/>
  <c r="G20" i="40"/>
  <c r="F20" i="40"/>
  <c r="G19" i="40"/>
  <c r="F19" i="40"/>
  <c r="G18" i="40"/>
  <c r="F18" i="40"/>
  <c r="G17" i="40"/>
  <c r="F17" i="40"/>
  <c r="G16" i="40"/>
  <c r="F16" i="40"/>
  <c r="G15" i="40"/>
  <c r="F15" i="40"/>
  <c r="G14" i="40"/>
  <c r="F14" i="40"/>
  <c r="G13" i="40"/>
  <c r="F13" i="40"/>
  <c r="G12" i="40"/>
  <c r="F12" i="40"/>
  <c r="G11" i="40"/>
  <c r="F11" i="40"/>
  <c r="G10" i="40"/>
  <c r="F10" i="40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G10" i="1"/>
  <c r="F10" i="1"/>
  <c r="AK13" i="39"/>
  <c r="AK12" i="39"/>
  <c r="AK11" i="39"/>
  <c r="AB29" i="40"/>
  <c r="C29" i="40"/>
  <c r="AB28" i="40"/>
  <c r="C28" i="40"/>
  <c r="AB27" i="40"/>
  <c r="C27" i="40"/>
  <c r="AB26" i="40"/>
  <c r="C26" i="40"/>
  <c r="AB25" i="40"/>
  <c r="C25" i="40"/>
  <c r="AB24" i="40"/>
  <c r="C24" i="40"/>
  <c r="AB23" i="40"/>
  <c r="C23" i="40"/>
  <c r="AB22" i="40"/>
  <c r="C22" i="40"/>
  <c r="AB21" i="40"/>
  <c r="C21" i="40"/>
  <c r="AB20" i="40"/>
  <c r="C20" i="40"/>
  <c r="AB19" i="40"/>
  <c r="C19" i="40"/>
  <c r="AB18" i="40"/>
  <c r="C18" i="40"/>
  <c r="AB17" i="40"/>
  <c r="C17" i="40"/>
  <c r="AB16" i="40"/>
  <c r="C16" i="40"/>
  <c r="AB15" i="40"/>
  <c r="C15" i="40"/>
  <c r="AB14" i="40"/>
  <c r="C14" i="40"/>
  <c r="AB13" i="40"/>
  <c r="C13" i="40"/>
  <c r="AB12" i="40"/>
  <c r="C12" i="40"/>
  <c r="AB11" i="40"/>
  <c r="C11" i="40"/>
  <c r="AB10" i="40"/>
  <c r="C10" i="40"/>
  <c r="V6" i="40"/>
  <c r="T6" i="40"/>
  <c r="V5" i="40"/>
  <c r="U5" i="40"/>
  <c r="T5" i="40"/>
  <c r="U5" i="39"/>
  <c r="V5" i="39"/>
  <c r="AB29" i="39"/>
  <c r="C29" i="39"/>
  <c r="AB28" i="39"/>
  <c r="C28" i="39"/>
  <c r="AB27" i="39"/>
  <c r="C27" i="39"/>
  <c r="AB26" i="39"/>
  <c r="C26" i="39"/>
  <c r="AB25" i="39"/>
  <c r="C25" i="39"/>
  <c r="AB24" i="39"/>
  <c r="C24" i="39"/>
  <c r="AB23" i="39"/>
  <c r="C23" i="39"/>
  <c r="AB22" i="39"/>
  <c r="C22" i="39"/>
  <c r="AB21" i="39"/>
  <c r="C21" i="39"/>
  <c r="AB20" i="39"/>
  <c r="C20" i="39"/>
  <c r="AB19" i="39"/>
  <c r="C19" i="39"/>
  <c r="AB18" i="39"/>
  <c r="C18" i="39"/>
  <c r="AB17" i="39"/>
  <c r="C17" i="39"/>
  <c r="AB16" i="39"/>
  <c r="C16" i="39"/>
  <c r="AB15" i="39"/>
  <c r="C15" i="39"/>
  <c r="AB14" i="39"/>
  <c r="C14" i="39"/>
  <c r="AB13" i="39"/>
  <c r="C13" i="39"/>
  <c r="AB12" i="39"/>
  <c r="C12" i="39"/>
  <c r="AB11" i="39"/>
  <c r="C11" i="39"/>
  <c r="AB10" i="39"/>
  <c r="C10" i="39"/>
  <c r="T6" i="39"/>
  <c r="T5" i="39"/>
  <c r="U5" i="38"/>
  <c r="V5" i="38"/>
  <c r="AB29" i="38"/>
  <c r="C29" i="38"/>
  <c r="AB28" i="38"/>
  <c r="C28" i="38"/>
  <c r="AB27" i="38"/>
  <c r="C27" i="38"/>
  <c r="AB26" i="38"/>
  <c r="C26" i="38"/>
  <c r="AB25" i="38"/>
  <c r="C25" i="38"/>
  <c r="AB24" i="38"/>
  <c r="C24" i="38"/>
  <c r="AB23" i="38"/>
  <c r="C23" i="38"/>
  <c r="AB22" i="38"/>
  <c r="C22" i="38"/>
  <c r="AB21" i="38"/>
  <c r="C21" i="38"/>
  <c r="AB20" i="38"/>
  <c r="C20" i="38"/>
  <c r="AB19" i="38"/>
  <c r="C19" i="38"/>
  <c r="AB18" i="38"/>
  <c r="C18" i="38"/>
  <c r="AB17" i="38"/>
  <c r="C17" i="38"/>
  <c r="AB16" i="38"/>
  <c r="C16" i="38"/>
  <c r="AB15" i="38"/>
  <c r="C15" i="38"/>
  <c r="AB14" i="38"/>
  <c r="C14" i="38"/>
  <c r="AB13" i="38"/>
  <c r="C13" i="38"/>
  <c r="AB12" i="38"/>
  <c r="C12" i="38"/>
  <c r="AB11" i="38"/>
  <c r="C11" i="38"/>
  <c r="AB10" i="38"/>
  <c r="C10" i="38"/>
  <c r="V6" i="38"/>
  <c r="T6" i="38"/>
  <c r="T5" i="38"/>
  <c r="V6" i="35"/>
  <c r="V5" i="35"/>
  <c r="AB29" i="35"/>
  <c r="C29" i="35"/>
  <c r="AB28" i="35"/>
  <c r="C28" i="35"/>
  <c r="AB27" i="35"/>
  <c r="C27" i="35"/>
  <c r="AB26" i="35"/>
  <c r="AB25" i="35"/>
  <c r="AB24" i="35"/>
  <c r="AB23" i="35"/>
  <c r="AB22" i="35"/>
  <c r="AB21" i="35"/>
  <c r="C21" i="35"/>
  <c r="AB20" i="35"/>
  <c r="C20" i="35"/>
  <c r="C19" i="35"/>
  <c r="C18" i="35"/>
  <c r="C17" i="35"/>
  <c r="C16" i="35"/>
  <c r="C15" i="35"/>
  <c r="C14" i="35"/>
  <c r="C13" i="35"/>
  <c r="AB12" i="35"/>
  <c r="C12" i="35"/>
  <c r="AB11" i="35"/>
  <c r="C11" i="35"/>
  <c r="AB10" i="35"/>
  <c r="C10" i="35"/>
  <c r="T6" i="35"/>
  <c r="T5" i="35"/>
  <c r="T5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AM30" i="1"/>
  <c r="N30" i="1"/>
  <c r="V5" i="1"/>
  <c r="V6" i="1"/>
  <c r="T6" i="1"/>
  <c r="C10" i="1"/>
  <c r="AB10" i="1"/>
  <c r="E30" i="1"/>
  <c r="H30" i="1"/>
  <c r="I30" i="1"/>
  <c r="J30" i="1"/>
  <c r="K30" i="1"/>
  <c r="L30" i="1"/>
  <c r="M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J30" i="1"/>
  <c r="AK30" i="1"/>
  <c r="AL30" i="1"/>
  <c r="AN30" i="1"/>
  <c r="AO30" i="1"/>
  <c r="AP30" i="1"/>
  <c r="AQ30" i="1"/>
  <c r="AR30" i="1"/>
  <c r="U6" i="1"/>
  <c r="AU30" i="1"/>
  <c r="V6" i="39"/>
  <c r="U5" i="35"/>
  <c r="U6" i="40"/>
  <c r="D31" i="40"/>
  <c r="D31" i="39"/>
  <c r="U6" i="39"/>
  <c r="U6" i="38"/>
  <c r="D31" i="38"/>
  <c r="G30" i="1"/>
  <c r="F30" i="1"/>
  <c r="D31" i="49"/>
  <c r="U5" i="49"/>
  <c r="D31" i="48"/>
  <c r="U5" i="48"/>
  <c r="F30" i="47"/>
  <c r="G30" i="47"/>
  <c r="F30" i="46"/>
  <c r="G30" i="46"/>
  <c r="V6" i="47"/>
  <c r="V5" i="47"/>
  <c r="U5" i="47"/>
  <c r="V6" i="46"/>
  <c r="V5" i="46"/>
  <c r="D31" i="1"/>
  <c r="D31" i="47"/>
  <c r="D31" i="46"/>
  <c r="U6" i="46"/>
  <c r="G30" i="53"/>
  <c r="F30" i="53"/>
  <c r="F30" i="52"/>
  <c r="G30" i="52"/>
  <c r="U5" i="52"/>
  <c r="D31" i="53"/>
  <c r="D31" i="52"/>
  <c r="U6" i="35"/>
  <c r="D31" i="35"/>
  <c r="E70" i="1"/>
  <c r="AT70" i="1"/>
  <c r="AU70" i="1"/>
  <c r="X70" i="1"/>
  <c r="U57" i="1"/>
  <c r="P57" i="1"/>
  <c r="E67" i="1"/>
  <c r="K70" i="1"/>
  <c r="AP70" i="1"/>
  <c r="AH68" i="1"/>
  <c r="AU57" i="1"/>
  <c r="AA70" i="1"/>
  <c r="Q70" i="1"/>
  <c r="R70" i="1"/>
  <c r="AL70" i="1"/>
  <c r="AE70" i="1"/>
  <c r="S70" i="1"/>
  <c r="Z70" i="1"/>
  <c r="AM70" i="1"/>
  <c r="AQ70" i="1"/>
  <c r="AS70" i="1"/>
  <c r="AI70" i="1"/>
  <c r="Y70" i="1"/>
  <c r="I70" i="1"/>
  <c r="AH70" i="1"/>
  <c r="AN70" i="1"/>
  <c r="V70" i="1"/>
  <c r="AH57" i="1"/>
  <c r="AM69" i="1"/>
  <c r="AN57" i="1"/>
  <c r="E57" i="1"/>
  <c r="AO57" i="1"/>
  <c r="F57" i="1"/>
  <c r="AD57" i="1"/>
  <c r="AP57" i="1"/>
  <c r="G57" i="1"/>
  <c r="AI57" i="1"/>
  <c r="X57" i="1"/>
  <c r="AJ57" i="1"/>
  <c r="AK57" i="1"/>
  <c r="Z57" i="1"/>
  <c r="AL57" i="1"/>
  <c r="AM57" i="1"/>
  <c r="AQ57" i="1"/>
  <c r="AA57" i="1"/>
  <c r="AR57" i="1"/>
  <c r="AS57" i="1"/>
  <c r="AF57" i="1"/>
  <c r="H57" i="1"/>
  <c r="W57" i="1"/>
  <c r="AG57" i="1"/>
  <c r="T57" i="1"/>
  <c r="D31" i="63" l="1"/>
  <c r="D31" i="62"/>
  <c r="A46" i="55"/>
  <c r="AQ64" i="35"/>
  <c r="A39" i="55"/>
  <c r="A34" i="55"/>
  <c r="AO34" i="55" s="1"/>
  <c r="A38" i="55"/>
  <c r="C41" i="56"/>
  <c r="A51" i="55"/>
  <c r="AO51" i="55" s="1"/>
  <c r="A54" i="55"/>
  <c r="AO54" i="55" s="1"/>
  <c r="A50" i="55"/>
  <c r="AO50" i="55" s="1"/>
  <c r="A45" i="55"/>
  <c r="AO45" i="55" s="1"/>
  <c r="A52" i="55"/>
  <c r="A33" i="55"/>
  <c r="AO33" i="55" s="1"/>
  <c r="A47" i="55"/>
  <c r="AO47" i="55" s="1"/>
  <c r="A48" i="55"/>
  <c r="AO48" i="55" s="1"/>
  <c r="A49" i="55"/>
  <c r="AO49" i="55" s="1"/>
  <c r="A35" i="55"/>
  <c r="AO35" i="55" s="1"/>
  <c r="A42" i="55"/>
  <c r="AO42" i="55" s="1"/>
  <c r="A41" i="55"/>
  <c r="AO41" i="55" s="1"/>
  <c r="A36" i="55"/>
  <c r="AO36" i="55" s="1"/>
  <c r="A37" i="55"/>
  <c r="AO37" i="55" s="1"/>
  <c r="A44" i="55"/>
  <c r="AO44" i="55" s="1"/>
  <c r="A40" i="55"/>
  <c r="AO40" i="55" s="1"/>
  <c r="AI42" i="49"/>
  <c r="T61" i="58"/>
  <c r="I56" i="56"/>
  <c r="I46" i="46"/>
  <c r="AK46" i="38"/>
  <c r="AJ61" i="58"/>
  <c r="J56" i="56"/>
  <c r="J46" i="46"/>
  <c r="AM44" i="58"/>
  <c r="Z61" i="58"/>
  <c r="S51" i="1"/>
  <c r="R46" i="38"/>
  <c r="AQ44" i="58"/>
  <c r="AA61" i="58"/>
  <c r="T46" i="38"/>
  <c r="AT44" i="58"/>
  <c r="AE61" i="58"/>
  <c r="Y42" i="49"/>
  <c r="M46" i="46"/>
  <c r="S46" i="46"/>
  <c r="T46" i="46"/>
  <c r="C42" i="47"/>
  <c r="AL46" i="46"/>
  <c r="AM46" i="46"/>
  <c r="P66" i="51"/>
  <c r="V66" i="51"/>
  <c r="AA66" i="51"/>
  <c r="AJ66" i="51"/>
  <c r="Z63" i="38"/>
  <c r="AL58" i="1"/>
  <c r="AQ63" i="49"/>
  <c r="AE54" i="38"/>
  <c r="N66" i="51"/>
  <c r="W66" i="51"/>
  <c r="AK66" i="51"/>
  <c r="AU50" i="1"/>
  <c r="Z44" i="58"/>
  <c r="O61" i="58"/>
  <c r="M51" i="58"/>
  <c r="G65" i="58"/>
  <c r="P43" i="58"/>
  <c r="K56" i="43"/>
  <c r="AM42" i="39"/>
  <c r="I66" i="35"/>
  <c r="X51" i="58"/>
  <c r="Z52" i="53"/>
  <c r="N65" i="51"/>
  <c r="AR49" i="43"/>
  <c r="K66" i="35"/>
  <c r="AE43" i="58"/>
  <c r="AO51" i="58"/>
  <c r="T65" i="58"/>
  <c r="AU52" i="53"/>
  <c r="AT49" i="43"/>
  <c r="N56" i="43"/>
  <c r="AQ51" i="58"/>
  <c r="AE65" i="58"/>
  <c r="T56" i="43"/>
  <c r="N64" i="35"/>
  <c r="Q51" i="58"/>
  <c r="M65" i="58"/>
  <c r="I45" i="1"/>
  <c r="I52" i="53"/>
  <c r="AD43" i="58"/>
  <c r="AN42" i="39"/>
  <c r="AG65" i="51"/>
  <c r="AQ43" i="58"/>
  <c r="AJ45" i="1"/>
  <c r="AH65" i="51"/>
  <c r="AG65" i="58"/>
  <c r="AS45" i="1"/>
  <c r="U63" i="1"/>
  <c r="AS43" i="47"/>
  <c r="AJ63" i="40"/>
  <c r="O64" i="35"/>
  <c r="H44" i="58"/>
  <c r="AS65" i="58"/>
  <c r="T63" i="1"/>
  <c r="AI42" i="56"/>
  <c r="AN65" i="51"/>
  <c r="AK63" i="40"/>
  <c r="P64" i="35"/>
  <c r="I51" i="1"/>
  <c r="AO62" i="1"/>
  <c r="N42" i="49"/>
  <c r="AJ63" i="58"/>
  <c r="C41" i="52"/>
  <c r="F66" i="51"/>
  <c r="O42" i="49"/>
  <c r="K63" i="38"/>
  <c r="AK64" i="35"/>
  <c r="C41" i="58"/>
  <c r="V44" i="58"/>
  <c r="AG50" i="58"/>
  <c r="M61" i="58"/>
  <c r="N65" i="58"/>
  <c r="M56" i="43"/>
  <c r="M64" i="35"/>
  <c r="AG42" i="56"/>
  <c r="AJ65" i="51"/>
  <c r="AK56" i="43"/>
  <c r="P44" i="58"/>
  <c r="U64" i="35"/>
  <c r="R44" i="58"/>
  <c r="K61" i="58"/>
  <c r="M66" i="51"/>
  <c r="U42" i="49"/>
  <c r="Y63" i="38"/>
  <c r="AM64" i="35"/>
  <c r="W44" i="58"/>
  <c r="N61" i="58"/>
  <c r="D31" i="61"/>
  <c r="U6" i="61"/>
  <c r="D31" i="60"/>
  <c r="AO9" i="55"/>
  <c r="AS61" i="1"/>
  <c r="AQ61" i="1"/>
  <c r="P61" i="1"/>
  <c r="AR61" i="1"/>
  <c r="V61" i="1"/>
  <c r="AL49" i="1"/>
  <c r="J49" i="1"/>
  <c r="AF49" i="1"/>
  <c r="I49" i="1"/>
  <c r="AE49" i="1"/>
  <c r="AS49" i="1"/>
  <c r="H44" i="53"/>
  <c r="Y44" i="53"/>
  <c r="X44" i="53"/>
  <c r="T44" i="53"/>
  <c r="Q44" i="53"/>
  <c r="AI51" i="49"/>
  <c r="AH51" i="49"/>
  <c r="Q61" i="1"/>
  <c r="AO2" i="55"/>
  <c r="A32" i="55"/>
  <c r="AO32" i="55" s="1"/>
  <c r="X60" i="1"/>
  <c r="AM60" i="1"/>
  <c r="AN60" i="1"/>
  <c r="Q43" i="56"/>
  <c r="O43" i="56"/>
  <c r="K44" i="53"/>
  <c r="AK55" i="52"/>
  <c r="S64" i="48"/>
  <c r="AR55" i="58"/>
  <c r="AU55" i="58"/>
  <c r="AQ55" i="58"/>
  <c r="Q55" i="58"/>
  <c r="R61" i="1"/>
  <c r="AA61" i="1"/>
  <c r="AA43" i="56"/>
  <c r="AU55" i="52"/>
  <c r="P59" i="40"/>
  <c r="L59" i="40"/>
  <c r="W59" i="40"/>
  <c r="K59" i="40"/>
  <c r="AE43" i="56"/>
  <c r="Y64" i="53"/>
  <c r="U64" i="53"/>
  <c r="AI48" i="48"/>
  <c r="E59" i="40"/>
  <c r="AA64" i="58"/>
  <c r="Y64" i="58"/>
  <c r="X64" i="58"/>
  <c r="V64" i="58"/>
  <c r="U64" i="58"/>
  <c r="AP61" i="1"/>
  <c r="AF43" i="56"/>
  <c r="AJ48" i="48"/>
  <c r="I58" i="48"/>
  <c r="AN59" i="35"/>
  <c r="AM59" i="35"/>
  <c r="N59" i="35"/>
  <c r="AD64" i="58"/>
  <c r="AO10" i="55"/>
  <c r="AH56" i="1"/>
  <c r="H56" i="1"/>
  <c r="AQ49" i="52"/>
  <c r="AA49" i="52"/>
  <c r="AL49" i="52"/>
  <c r="AF49" i="52"/>
  <c r="AG58" i="48"/>
  <c r="L61" i="40"/>
  <c r="AU61" i="40"/>
  <c r="AH61" i="40"/>
  <c r="Y61" i="40"/>
  <c r="X61" i="40"/>
  <c r="W50" i="39"/>
  <c r="AR50" i="39"/>
  <c r="Y50" i="39"/>
  <c r="V45" i="58"/>
  <c r="AH64" i="58"/>
  <c r="AO21" i="55"/>
  <c r="AO6" i="55"/>
  <c r="J49" i="52"/>
  <c r="Q61" i="40"/>
  <c r="P50" i="39"/>
  <c r="Q49" i="1"/>
  <c r="T49" i="1"/>
  <c r="AO5" i="55"/>
  <c r="X58" i="49"/>
  <c r="AP52" i="40"/>
  <c r="AR52" i="40"/>
  <c r="AN52" i="40"/>
  <c r="AA52" i="40"/>
  <c r="AI61" i="40"/>
  <c r="L49" i="1"/>
  <c r="K59" i="49"/>
  <c r="AL59" i="49"/>
  <c r="AK59" i="49"/>
  <c r="AS61" i="40"/>
  <c r="AO59" i="58"/>
  <c r="AH59" i="58"/>
  <c r="AA59" i="58"/>
  <c r="AK49" i="1"/>
  <c r="AE58" i="51"/>
  <c r="Q58" i="51"/>
  <c r="N59" i="49"/>
  <c r="AM65" i="39"/>
  <c r="AR65" i="39"/>
  <c r="N59" i="58"/>
  <c r="R50" i="56"/>
  <c r="K50" i="56"/>
  <c r="J64" i="52"/>
  <c r="AO24" i="55"/>
  <c r="AO23" i="55"/>
  <c r="AO53" i="55"/>
  <c r="AO54" i="58"/>
  <c r="X61" i="1"/>
  <c r="AO4" i="55"/>
  <c r="AO46" i="55"/>
  <c r="AO16" i="55"/>
  <c r="AH46" i="39"/>
  <c r="S46" i="39"/>
  <c r="AO13" i="55"/>
  <c r="AO43" i="55"/>
  <c r="AO64" i="48"/>
  <c r="AM61" i="1"/>
  <c r="Q58" i="48"/>
  <c r="K58" i="48"/>
  <c r="AF51" i="47"/>
  <c r="Y51" i="47"/>
  <c r="O51" i="47"/>
  <c r="Z64" i="53"/>
  <c r="AL45" i="58"/>
  <c r="AQ45" i="58"/>
  <c r="AK45" i="58"/>
  <c r="AA45" i="58"/>
  <c r="X45" i="58"/>
  <c r="W45" i="58"/>
  <c r="AK58" i="46"/>
  <c r="AU58" i="46"/>
  <c r="AS58" i="46"/>
  <c r="AO20" i="55"/>
  <c r="AR49" i="1"/>
  <c r="Z50" i="53"/>
  <c r="AU50" i="53"/>
  <c r="AO49" i="1"/>
  <c r="K44" i="1"/>
  <c r="AO59" i="49"/>
  <c r="M54" i="43"/>
  <c r="AH54" i="43"/>
  <c r="W54" i="43"/>
  <c r="S54" i="43"/>
  <c r="R54" i="43"/>
  <c r="J54" i="43"/>
  <c r="AT53" i="58"/>
  <c r="AU53" i="58"/>
  <c r="AS53" i="58"/>
  <c r="AR53" i="58"/>
  <c r="Y60" i="58"/>
  <c r="AR60" i="58"/>
  <c r="AS60" i="58"/>
  <c r="AQ60" i="58"/>
  <c r="AP60" i="58"/>
  <c r="AO7" i="55"/>
  <c r="G46" i="38"/>
  <c r="AS56" i="38"/>
  <c r="AS64" i="38"/>
  <c r="AE47" i="58"/>
  <c r="J51" i="58"/>
  <c r="L52" i="58"/>
  <c r="AT65" i="58"/>
  <c r="AO11" i="55"/>
  <c r="AM66" i="49"/>
  <c r="V46" i="46"/>
  <c r="H56" i="43"/>
  <c r="P46" i="38"/>
  <c r="R64" i="35"/>
  <c r="G45" i="58"/>
  <c r="AU44" i="58"/>
  <c r="L51" i="58"/>
  <c r="R61" i="58"/>
  <c r="AH63" i="58"/>
  <c r="E65" i="58"/>
  <c r="AO12" i="55"/>
  <c r="AA61" i="43"/>
  <c r="E42" i="39"/>
  <c r="AL46" i="38"/>
  <c r="Y51" i="58"/>
  <c r="AO22" i="55"/>
  <c r="AJ61" i="56"/>
  <c r="S41" i="51"/>
  <c r="AD50" i="51"/>
  <c r="AI56" i="49"/>
  <c r="AE61" i="43"/>
  <c r="G42" i="39"/>
  <c r="AM46" i="38"/>
  <c r="E54" i="38"/>
  <c r="AR64" i="35"/>
  <c r="AG42" i="58"/>
  <c r="L50" i="58"/>
  <c r="AA51" i="58"/>
  <c r="AO18" i="55"/>
  <c r="AO17" i="55"/>
  <c r="AO39" i="55"/>
  <c r="AN41" i="51"/>
  <c r="AJ63" i="49"/>
  <c r="C52" i="47"/>
  <c r="X56" i="43"/>
  <c r="AF61" i="43"/>
  <c r="R63" i="40"/>
  <c r="X42" i="39"/>
  <c r="AP46" i="38"/>
  <c r="G54" i="38"/>
  <c r="I64" i="35"/>
  <c r="X44" i="58"/>
  <c r="AA50" i="58"/>
  <c r="AD51" i="58"/>
  <c r="AR61" i="58"/>
  <c r="V65" i="58"/>
  <c r="AO14" i="55"/>
  <c r="AO52" i="55"/>
  <c r="K50" i="58"/>
  <c r="AO19" i="55"/>
  <c r="V56" i="43"/>
  <c r="U65" i="58"/>
  <c r="AO8" i="55"/>
  <c r="AO15" i="55"/>
  <c r="AO38" i="55"/>
  <c r="AO3" i="55"/>
  <c r="U42" i="56"/>
  <c r="AT41" i="51"/>
  <c r="M42" i="49"/>
  <c r="Z56" i="43"/>
  <c r="AH61" i="43"/>
  <c r="AG63" i="40"/>
  <c r="AQ46" i="38"/>
  <c r="K64" i="35"/>
  <c r="Y44" i="58"/>
  <c r="AH51" i="58"/>
  <c r="AT61" i="58"/>
  <c r="AA65" i="58"/>
  <c r="W42" i="48"/>
  <c r="AN42" i="48"/>
  <c r="AM42" i="48"/>
  <c r="AL42" i="48"/>
  <c r="AO56" i="46"/>
  <c r="AA47" i="40"/>
  <c r="AG47" i="40"/>
  <c r="AE47" i="40"/>
  <c r="E60" i="35"/>
  <c r="E66" i="56"/>
  <c r="E64" i="52"/>
  <c r="AU55" i="43"/>
  <c r="AM55" i="43"/>
  <c r="AT55" i="43"/>
  <c r="U42" i="58"/>
  <c r="AT42" i="58"/>
  <c r="T42" i="58"/>
  <c r="AN42" i="58"/>
  <c r="S42" i="58"/>
  <c r="AK42" i="58"/>
  <c r="AL42" i="58"/>
  <c r="R42" i="58"/>
  <c r="Q42" i="58"/>
  <c r="AI42" i="58"/>
  <c r="U45" i="52"/>
  <c r="H64" i="52"/>
  <c r="AR54" i="49"/>
  <c r="AG54" i="49"/>
  <c r="AF54" i="49"/>
  <c r="R54" i="49"/>
  <c r="T54" i="49"/>
  <c r="S54" i="49"/>
  <c r="T50" i="46"/>
  <c r="AM45" i="40"/>
  <c r="Z45" i="40"/>
  <c r="Y45" i="40"/>
  <c r="S45" i="40"/>
  <c r="O45" i="40"/>
  <c r="N45" i="40"/>
  <c r="X48" i="39"/>
  <c r="I55" i="35"/>
  <c r="E42" i="58"/>
  <c r="AF48" i="58"/>
  <c r="AU47" i="43"/>
  <c r="L53" i="53"/>
  <c r="I65" i="49"/>
  <c r="M43" i="43"/>
  <c r="T63" i="43"/>
  <c r="R63" i="43"/>
  <c r="O63" i="43"/>
  <c r="G63" i="43"/>
  <c r="F63" i="43"/>
  <c r="K45" i="40"/>
  <c r="M54" i="40"/>
  <c r="AF54" i="40"/>
  <c r="AS54" i="40"/>
  <c r="I60" i="40"/>
  <c r="AU60" i="40"/>
  <c r="AJ60" i="40"/>
  <c r="AI60" i="40"/>
  <c r="J65" i="40"/>
  <c r="AK48" i="39"/>
  <c r="AQ53" i="46"/>
  <c r="AP53" i="46"/>
  <c r="M53" i="46"/>
  <c r="AM53" i="46"/>
  <c r="AE53" i="46"/>
  <c r="W48" i="47"/>
  <c r="O48" i="47"/>
  <c r="AP48" i="47"/>
  <c r="AO48" i="47"/>
  <c r="AM48" i="47"/>
  <c r="Q55" i="38"/>
  <c r="AR50" i="35"/>
  <c r="AU50" i="35"/>
  <c r="F42" i="58"/>
  <c r="AE64" i="1"/>
  <c r="AA55" i="56"/>
  <c r="S53" i="53"/>
  <c r="AG42" i="52"/>
  <c r="S42" i="52"/>
  <c r="G42" i="52"/>
  <c r="R42" i="52"/>
  <c r="I42" i="52"/>
  <c r="H42" i="52"/>
  <c r="AI58" i="51"/>
  <c r="AS58" i="51"/>
  <c r="AF58" i="51"/>
  <c r="AH58" i="51"/>
  <c r="AG58" i="51"/>
  <c r="AK50" i="49"/>
  <c r="AI50" i="49"/>
  <c r="W50" i="49"/>
  <c r="AE50" i="49"/>
  <c r="X50" i="49"/>
  <c r="AP54" i="49"/>
  <c r="AL65" i="49"/>
  <c r="AK46" i="48"/>
  <c r="O42" i="46"/>
  <c r="I53" i="46"/>
  <c r="AA52" i="47"/>
  <c r="AL43" i="43"/>
  <c r="S48" i="43"/>
  <c r="AN59" i="43"/>
  <c r="M45" i="40"/>
  <c r="S60" i="40"/>
  <c r="E49" i="39"/>
  <c r="AP49" i="39"/>
  <c r="I53" i="38"/>
  <c r="R55" i="38"/>
  <c r="AK50" i="35"/>
  <c r="I58" i="35"/>
  <c r="J58" i="35"/>
  <c r="N42" i="58"/>
  <c r="AE53" i="58"/>
  <c r="AA53" i="58"/>
  <c r="Z53" i="58"/>
  <c r="U53" i="58"/>
  <c r="T53" i="58"/>
  <c r="N53" i="58"/>
  <c r="U63" i="58"/>
  <c r="K43" i="56"/>
  <c r="AS43" i="56"/>
  <c r="AH43" i="56"/>
  <c r="AH56" i="56"/>
  <c r="AD56" i="56"/>
  <c r="AA56" i="56"/>
  <c r="X56" i="56"/>
  <c r="V56" i="56"/>
  <c r="T53" i="53"/>
  <c r="U42" i="52"/>
  <c r="F58" i="51"/>
  <c r="P50" i="49"/>
  <c r="AR65" i="49"/>
  <c r="R42" i="46"/>
  <c r="L53" i="46"/>
  <c r="AS41" i="47"/>
  <c r="AK52" i="47"/>
  <c r="AM43" i="43"/>
  <c r="T48" i="43"/>
  <c r="AD45" i="40"/>
  <c r="AE51" i="40"/>
  <c r="T60" i="40"/>
  <c r="AD55" i="38"/>
  <c r="O66" i="38"/>
  <c r="AQ50" i="35"/>
  <c r="O42" i="58"/>
  <c r="AR50" i="58"/>
  <c r="AQ50" i="58"/>
  <c r="AP50" i="58"/>
  <c r="AO50" i="58"/>
  <c r="F53" i="58"/>
  <c r="AS59" i="58"/>
  <c r="AP59" i="58"/>
  <c r="AQ59" i="58"/>
  <c r="V63" i="58"/>
  <c r="AN43" i="1"/>
  <c r="W43" i="1"/>
  <c r="AH43" i="1"/>
  <c r="AP43" i="1"/>
  <c r="N52" i="47"/>
  <c r="AE58" i="38"/>
  <c r="R60" i="35"/>
  <c r="AJ42" i="58"/>
  <c r="I64" i="52"/>
  <c r="O52" i="47"/>
  <c r="AD59" i="38"/>
  <c r="AN59" i="38"/>
  <c r="AA59" i="38"/>
  <c r="X59" i="38"/>
  <c r="W59" i="38"/>
  <c r="AE45" i="52"/>
  <c r="W52" i="47"/>
  <c r="W59" i="43"/>
  <c r="AO53" i="38"/>
  <c r="AJ53" i="38"/>
  <c r="AI53" i="38"/>
  <c r="L53" i="38"/>
  <c r="AG53" i="38"/>
  <c r="AE53" i="38"/>
  <c r="V54" i="1"/>
  <c r="AH54" i="49"/>
  <c r="AD54" i="40"/>
  <c r="AT50" i="56"/>
  <c r="AS50" i="56"/>
  <c r="AQ53" i="53"/>
  <c r="V42" i="52"/>
  <c r="AD47" i="52"/>
  <c r="AJ47" i="52"/>
  <c r="AQ47" i="52"/>
  <c r="AK47" i="52"/>
  <c r="I58" i="51"/>
  <c r="AI65" i="51"/>
  <c r="M65" i="51"/>
  <c r="AS65" i="51"/>
  <c r="K65" i="51"/>
  <c r="G65" i="51"/>
  <c r="J65" i="51"/>
  <c r="I65" i="51"/>
  <c r="R50" i="49"/>
  <c r="AE42" i="46"/>
  <c r="AT53" i="46"/>
  <c r="AU48" i="43"/>
  <c r="AI45" i="40"/>
  <c r="AF51" i="40"/>
  <c r="U60" i="40"/>
  <c r="AK42" i="39"/>
  <c r="W42" i="39"/>
  <c r="V42" i="39"/>
  <c r="O42" i="39"/>
  <c r="M42" i="39"/>
  <c r="I42" i="39"/>
  <c r="AN53" i="38"/>
  <c r="AE55" i="38"/>
  <c r="AS50" i="35"/>
  <c r="W42" i="58"/>
  <c r="AK44" i="58"/>
  <c r="AL44" i="58"/>
  <c r="N44" i="58"/>
  <c r="AH44" i="58"/>
  <c r="M44" i="58"/>
  <c r="J44" i="58"/>
  <c r="AG44" i="58"/>
  <c r="L44" i="58"/>
  <c r="AD44" i="58"/>
  <c r="AE44" i="58"/>
  <c r="K44" i="58"/>
  <c r="AP44" i="58"/>
  <c r="G53" i="58"/>
  <c r="AP61" i="58"/>
  <c r="AQ61" i="58"/>
  <c r="Y61" i="58"/>
  <c r="J61" i="58"/>
  <c r="AO61" i="58"/>
  <c r="X61" i="58"/>
  <c r="I61" i="58"/>
  <c r="U61" i="58"/>
  <c r="AN61" i="58"/>
  <c r="W61" i="58"/>
  <c r="H61" i="58"/>
  <c r="AM61" i="58"/>
  <c r="V61" i="58"/>
  <c r="G61" i="58"/>
  <c r="AL61" i="58"/>
  <c r="E61" i="58"/>
  <c r="AI61" i="58"/>
  <c r="W63" i="58"/>
  <c r="AP41" i="43"/>
  <c r="P60" i="35"/>
  <c r="AS43" i="1"/>
  <c r="AM47" i="43"/>
  <c r="AG43" i="1"/>
  <c r="V45" i="52"/>
  <c r="L43" i="43"/>
  <c r="L43" i="1"/>
  <c r="AR57" i="52"/>
  <c r="Q54" i="49"/>
  <c r="O59" i="38"/>
  <c r="H42" i="58"/>
  <c r="AM49" i="58"/>
  <c r="AT49" i="58"/>
  <c r="AS49" i="58"/>
  <c r="W49" i="58"/>
  <c r="U49" i="58"/>
  <c r="V49" i="58"/>
  <c r="L42" i="46"/>
  <c r="AM59" i="43"/>
  <c r="L45" i="40"/>
  <c r="G60" i="40"/>
  <c r="AR48" i="39"/>
  <c r="P59" i="38"/>
  <c r="I42" i="58"/>
  <c r="E63" i="58"/>
  <c r="AI42" i="52"/>
  <c r="J58" i="51"/>
  <c r="S50" i="49"/>
  <c r="T63" i="49"/>
  <c r="S63" i="49"/>
  <c r="H63" i="49"/>
  <c r="O63" i="49"/>
  <c r="M63" i="49"/>
  <c r="AL58" i="48"/>
  <c r="AR58" i="48"/>
  <c r="AN58" i="48"/>
  <c r="AL42" i="46"/>
  <c r="R60" i="46"/>
  <c r="AA60" i="46"/>
  <c r="AO45" i="43"/>
  <c r="O45" i="43"/>
  <c r="M45" i="43"/>
  <c r="AO42" i="40"/>
  <c r="AL42" i="40"/>
  <c r="AK42" i="40"/>
  <c r="W42" i="40"/>
  <c r="R42" i="40"/>
  <c r="AO45" i="40"/>
  <c r="K52" i="40"/>
  <c r="Z52" i="40"/>
  <c r="X52" i="40"/>
  <c r="W52" i="40"/>
  <c r="U52" i="40"/>
  <c r="R52" i="40"/>
  <c r="V60" i="40"/>
  <c r="AQ55" i="38"/>
  <c r="AE42" i="58"/>
  <c r="K53" i="58"/>
  <c r="G55" i="1"/>
  <c r="AU55" i="1"/>
  <c r="R55" i="1"/>
  <c r="Y55" i="1"/>
  <c r="Z55" i="1"/>
  <c r="AM53" i="1"/>
  <c r="N53" i="1"/>
  <c r="AQ45" i="53"/>
  <c r="S45" i="52"/>
  <c r="E45" i="52"/>
  <c r="R45" i="52"/>
  <c r="P45" i="52"/>
  <c r="I45" i="52"/>
  <c r="AE52" i="47"/>
  <c r="M52" i="47"/>
  <c r="L52" i="47"/>
  <c r="H52" i="47"/>
  <c r="AQ52" i="47"/>
  <c r="K52" i="47"/>
  <c r="AM52" i="47"/>
  <c r="AN52" i="47"/>
  <c r="I52" i="47"/>
  <c r="G47" i="40"/>
  <c r="I48" i="39"/>
  <c r="AL55" i="1"/>
  <c r="AT46" i="53"/>
  <c r="AS46" i="53"/>
  <c r="M46" i="53"/>
  <c r="J46" i="53"/>
  <c r="AL57" i="52"/>
  <c r="AU43" i="43"/>
  <c r="T43" i="43"/>
  <c r="S43" i="43"/>
  <c r="R43" i="43"/>
  <c r="Q43" i="43"/>
  <c r="P43" i="43"/>
  <c r="P54" i="49"/>
  <c r="AE65" i="49"/>
  <c r="J65" i="49"/>
  <c r="Y65" i="49"/>
  <c r="W65" i="49"/>
  <c r="Q65" i="49"/>
  <c r="E45" i="48"/>
  <c r="I45" i="40"/>
  <c r="AE65" i="40"/>
  <c r="AA65" i="40"/>
  <c r="P65" i="40"/>
  <c r="O65" i="40"/>
  <c r="M65" i="40"/>
  <c r="AD48" i="39"/>
  <c r="T60" i="35"/>
  <c r="G42" i="58"/>
  <c r="AT48" i="43"/>
  <c r="AA48" i="43"/>
  <c r="AS48" i="43"/>
  <c r="AR48" i="43"/>
  <c r="AN48" i="43"/>
  <c r="M55" i="38"/>
  <c r="L63" i="58"/>
  <c r="J63" i="58"/>
  <c r="G63" i="58"/>
  <c r="AS63" i="58"/>
  <c r="I63" i="58"/>
  <c r="AK63" i="58"/>
  <c r="AQ63" i="58"/>
  <c r="H63" i="58"/>
  <c r="Q53" i="53"/>
  <c r="AO41" i="52"/>
  <c r="AJ46" i="48"/>
  <c r="X52" i="47"/>
  <c r="H53" i="38"/>
  <c r="F61" i="35"/>
  <c r="Q61" i="35"/>
  <c r="S49" i="58"/>
  <c r="AH54" i="58"/>
  <c r="AG54" i="58"/>
  <c r="AD54" i="58"/>
  <c r="X54" i="58"/>
  <c r="W54" i="58"/>
  <c r="AU45" i="52"/>
  <c r="AT54" i="1"/>
  <c r="H64" i="1"/>
  <c r="L55" i="1"/>
  <c r="AR45" i="1"/>
  <c r="AO45" i="1"/>
  <c r="F55" i="1"/>
  <c r="N43" i="1"/>
  <c r="AN56" i="1"/>
  <c r="R56" i="1"/>
  <c r="S56" i="1"/>
  <c r="AL44" i="1"/>
  <c r="AF44" i="1"/>
  <c r="R43" i="56"/>
  <c r="Q50" i="56"/>
  <c r="AG56" i="56"/>
  <c r="AS42" i="52"/>
  <c r="L58" i="51"/>
  <c r="AE65" i="51"/>
  <c r="W63" i="49"/>
  <c r="F58" i="48"/>
  <c r="Q60" i="46"/>
  <c r="R51" i="47"/>
  <c r="V66" i="47"/>
  <c r="K45" i="43"/>
  <c r="AJ49" i="43"/>
  <c r="G42" i="40"/>
  <c r="AP45" i="40"/>
  <c r="J52" i="40"/>
  <c r="G59" i="40"/>
  <c r="AU59" i="40"/>
  <c r="AO59" i="40"/>
  <c r="AN59" i="40"/>
  <c r="AM59" i="40"/>
  <c r="X59" i="40"/>
  <c r="AH60" i="40"/>
  <c r="F42" i="39"/>
  <c r="AU54" i="38"/>
  <c r="AH54" i="38"/>
  <c r="AT54" i="38"/>
  <c r="AJ54" i="38"/>
  <c r="AI54" i="38"/>
  <c r="X66" i="35"/>
  <c r="V66" i="35"/>
  <c r="AF42" i="58"/>
  <c r="I44" i="58"/>
  <c r="AR44" i="58"/>
  <c r="Z50" i="58"/>
  <c r="M53" i="58"/>
  <c r="AD59" i="58"/>
  <c r="L61" i="58"/>
  <c r="AK61" i="58"/>
  <c r="AA63" i="58"/>
  <c r="S56" i="51"/>
  <c r="AO66" i="51"/>
  <c r="H48" i="48"/>
  <c r="E58" i="46"/>
  <c r="AD42" i="47"/>
  <c r="AP56" i="43"/>
  <c r="K61" i="43"/>
  <c r="L65" i="39"/>
  <c r="AE56" i="38"/>
  <c r="E64" i="38"/>
  <c r="W43" i="35"/>
  <c r="AA64" i="35"/>
  <c r="O41" i="58"/>
  <c r="N45" i="58"/>
  <c r="AR65" i="58"/>
  <c r="AI61" i="56"/>
  <c r="M59" i="49"/>
  <c r="J48" i="48"/>
  <c r="AE58" i="46"/>
  <c r="AF42" i="47"/>
  <c r="AU56" i="43"/>
  <c r="L61" i="43"/>
  <c r="T65" i="39"/>
  <c r="AJ56" i="38"/>
  <c r="N64" i="38"/>
  <c r="F44" i="58"/>
  <c r="AA41" i="58"/>
  <c r="O45" i="58"/>
  <c r="AA48" i="48"/>
  <c r="AH58" i="46"/>
  <c r="N61" i="43"/>
  <c r="AL65" i="39"/>
  <c r="AQ56" i="38"/>
  <c r="AF64" i="38"/>
  <c r="G44" i="58"/>
  <c r="AO41" i="58"/>
  <c r="R45" i="58"/>
  <c r="AL61" i="56"/>
  <c r="E44" i="53"/>
  <c r="T55" i="52"/>
  <c r="AL41" i="51"/>
  <c r="K66" i="51"/>
  <c r="AI59" i="49"/>
  <c r="AH48" i="48"/>
  <c r="G46" i="46"/>
  <c r="I56" i="43"/>
  <c r="V61" i="43"/>
  <c r="X63" i="40"/>
  <c r="K46" i="38"/>
  <c r="AR56" i="38"/>
  <c r="AP64" i="38"/>
  <c r="AU53" i="35"/>
  <c r="AP64" i="35"/>
  <c r="U45" i="58"/>
  <c r="AD60" i="58"/>
  <c r="T64" i="58"/>
  <c r="H65" i="58"/>
  <c r="K58" i="52"/>
  <c r="Z58" i="52"/>
  <c r="AK64" i="46"/>
  <c r="Z64" i="46"/>
  <c r="Y64" i="46"/>
  <c r="X64" i="46"/>
  <c r="P64" i="46"/>
  <c r="O64" i="46"/>
  <c r="N64" i="46"/>
  <c r="AR64" i="46"/>
  <c r="AQ64" i="46"/>
  <c r="AG64" i="46"/>
  <c r="AP64" i="46"/>
  <c r="AO64" i="46"/>
  <c r="AN64" i="46"/>
  <c r="Q64" i="46"/>
  <c r="R48" i="1"/>
  <c r="AL48" i="1"/>
  <c r="K48" i="1"/>
  <c r="G48" i="1"/>
  <c r="Q48" i="1"/>
  <c r="U48" i="1"/>
  <c r="I48" i="1"/>
  <c r="AO48" i="1"/>
  <c r="N48" i="1"/>
  <c r="AF48" i="1"/>
  <c r="AP48" i="1"/>
  <c r="W58" i="52"/>
  <c r="AO43" i="46"/>
  <c r="U58" i="47"/>
  <c r="K58" i="47"/>
  <c r="H58" i="47"/>
  <c r="AR58" i="47"/>
  <c r="AO58" i="47"/>
  <c r="AN58" i="47"/>
  <c r="P47" i="48"/>
  <c r="M65" i="47"/>
  <c r="R48" i="38"/>
  <c r="F59" i="1"/>
  <c r="R46" i="1"/>
  <c r="Y46" i="1"/>
  <c r="AQ46" i="1"/>
  <c r="X66" i="52"/>
  <c r="H66" i="52"/>
  <c r="AR66" i="52"/>
  <c r="Z66" i="52"/>
  <c r="O66" i="52"/>
  <c r="L66" i="52"/>
  <c r="AM66" i="52"/>
  <c r="AN66" i="52"/>
  <c r="AL52" i="51"/>
  <c r="AK46" i="49"/>
  <c r="I41" i="46"/>
  <c r="M64" i="46"/>
  <c r="X58" i="47"/>
  <c r="N65" i="47"/>
  <c r="X46" i="35"/>
  <c r="S46" i="35"/>
  <c r="F46" i="35"/>
  <c r="K46" i="35"/>
  <c r="R47" i="48"/>
  <c r="J50" i="43"/>
  <c r="E62" i="58"/>
  <c r="I47" i="1"/>
  <c r="H44" i="1"/>
  <c r="AG44" i="1"/>
  <c r="Z44" i="1"/>
  <c r="S44" i="1"/>
  <c r="R44" i="1"/>
  <c r="AP44" i="1"/>
  <c r="AN44" i="1"/>
  <c r="AT44" i="1"/>
  <c r="AS44" i="1"/>
  <c r="X44" i="1"/>
  <c r="AI44" i="1"/>
  <c r="O44" i="1"/>
  <c r="F44" i="1"/>
  <c r="E44" i="1"/>
  <c r="P44" i="1"/>
  <c r="N44" i="1"/>
  <c r="AO44" i="1"/>
  <c r="G44" i="1"/>
  <c r="I44" i="1"/>
  <c r="Q44" i="1"/>
  <c r="AT64" i="46"/>
  <c r="AM58" i="47"/>
  <c r="AD43" i="39"/>
  <c r="AG43" i="39"/>
  <c r="X43" i="39"/>
  <c r="Q43" i="39"/>
  <c r="P43" i="39"/>
  <c r="L43" i="39"/>
  <c r="O43" i="39"/>
  <c r="N43" i="39"/>
  <c r="F43" i="39"/>
  <c r="AT43" i="39"/>
  <c r="AP43" i="39"/>
  <c r="AN43" i="39"/>
  <c r="AG62" i="58"/>
  <c r="H46" i="1"/>
  <c r="AA44" i="1"/>
  <c r="AH41" i="1"/>
  <c r="AF41" i="1"/>
  <c r="AI41" i="1"/>
  <c r="H41" i="1"/>
  <c r="F41" i="1"/>
  <c r="M41" i="1"/>
  <c r="AG66" i="52"/>
  <c r="I51" i="48"/>
  <c r="M61" i="46"/>
  <c r="AO55" i="47"/>
  <c r="AE55" i="47"/>
  <c r="AD55" i="47"/>
  <c r="V55" i="47"/>
  <c r="AL55" i="47"/>
  <c r="AK55" i="47"/>
  <c r="AJ55" i="47"/>
  <c r="AQ55" i="47"/>
  <c r="S55" i="47"/>
  <c r="Q55" i="47"/>
  <c r="P55" i="47"/>
  <c r="AT43" i="1"/>
  <c r="W48" i="1"/>
  <c r="AG55" i="1"/>
  <c r="P47" i="1"/>
  <c r="AK66" i="52"/>
  <c r="O61" i="46"/>
  <c r="H55" i="47"/>
  <c r="T48" i="51"/>
  <c r="AM48" i="51"/>
  <c r="S48" i="51"/>
  <c r="AU48" i="51"/>
  <c r="AH48" i="51"/>
  <c r="G48" i="51"/>
  <c r="F48" i="51"/>
  <c r="P44" i="49"/>
  <c r="AR44" i="49"/>
  <c r="AF44" i="49"/>
  <c r="O44" i="49"/>
  <c r="L44" i="49"/>
  <c r="F44" i="49"/>
  <c r="AU44" i="49"/>
  <c r="AD44" i="49"/>
  <c r="Z44" i="49"/>
  <c r="AT44" i="49"/>
  <c r="AJ44" i="49"/>
  <c r="I55" i="47"/>
  <c r="P42" i="43"/>
  <c r="AR42" i="43"/>
  <c r="AO42" i="43"/>
  <c r="AK42" i="43"/>
  <c r="AJ42" i="43"/>
  <c r="AI42" i="43"/>
  <c r="Y42" i="43"/>
  <c r="U42" i="43"/>
  <c r="R42" i="43"/>
  <c r="Q42" i="43"/>
  <c r="H49" i="43"/>
  <c r="AO54" i="39"/>
  <c r="G56" i="35"/>
  <c r="AH56" i="35"/>
  <c r="AA56" i="35"/>
  <c r="Z56" i="35"/>
  <c r="X56" i="35"/>
  <c r="AI45" i="1"/>
  <c r="AK48" i="1"/>
  <c r="AE44" i="1"/>
  <c r="S43" i="1"/>
  <c r="AI64" i="52"/>
  <c r="U64" i="52"/>
  <c r="K64" i="52"/>
  <c r="X64" i="52"/>
  <c r="W64" i="52"/>
  <c r="V64" i="52"/>
  <c r="AO64" i="52"/>
  <c r="AN64" i="52"/>
  <c r="Q64" i="52"/>
  <c r="AM64" i="52"/>
  <c r="AL64" i="52"/>
  <c r="Y64" i="52"/>
  <c r="Q44" i="49"/>
  <c r="AU65" i="48"/>
  <c r="AT65" i="48"/>
  <c r="AR65" i="48"/>
  <c r="X65" i="48"/>
  <c r="AL65" i="48"/>
  <c r="AH65" i="48"/>
  <c r="AE65" i="48"/>
  <c r="R47" i="47"/>
  <c r="AR47" i="47"/>
  <c r="K55" i="47"/>
  <c r="O42" i="43"/>
  <c r="I49" i="43"/>
  <c r="E56" i="35"/>
  <c r="H64" i="46"/>
  <c r="M47" i="1"/>
  <c r="AD47" i="1"/>
  <c r="AF47" i="1"/>
  <c r="T47" i="1"/>
  <c r="W47" i="1"/>
  <c r="AS47" i="1"/>
  <c r="U47" i="1"/>
  <c r="AE47" i="1"/>
  <c r="AK47" i="1"/>
  <c r="AQ47" i="1"/>
  <c r="X47" i="1"/>
  <c r="S47" i="1"/>
  <c r="X58" i="52"/>
  <c r="AH43" i="51"/>
  <c r="AT43" i="51"/>
  <c r="AM43" i="51"/>
  <c r="AI43" i="51"/>
  <c r="S43" i="51"/>
  <c r="M43" i="51"/>
  <c r="AU43" i="51"/>
  <c r="AO43" i="51"/>
  <c r="F43" i="51"/>
  <c r="G43" i="51"/>
  <c r="I43" i="51"/>
  <c r="H43" i="51"/>
  <c r="AF41" i="46"/>
  <c r="C41" i="46"/>
  <c r="AJ41" i="46"/>
  <c r="AI41" i="46"/>
  <c r="U41" i="46"/>
  <c r="V41" i="46"/>
  <c r="S41" i="46"/>
  <c r="K64" i="46"/>
  <c r="AM47" i="1"/>
  <c r="AQ62" i="51"/>
  <c r="AN62" i="51"/>
  <c r="Z62" i="51"/>
  <c r="N62" i="51"/>
  <c r="E62" i="51"/>
  <c r="G62" i="51"/>
  <c r="AQ61" i="46"/>
  <c r="AH58" i="47"/>
  <c r="Z56" i="1"/>
  <c r="N56" i="1"/>
  <c r="L56" i="1"/>
  <c r="AP56" i="1"/>
  <c r="AU56" i="1"/>
  <c r="AQ56" i="1"/>
  <c r="Y56" i="1"/>
  <c r="P56" i="1"/>
  <c r="AT56" i="1"/>
  <c r="X56" i="1"/>
  <c r="G56" i="1"/>
  <c r="AL56" i="1"/>
  <c r="T56" i="1"/>
  <c r="AF56" i="1"/>
  <c r="U56" i="1"/>
  <c r="W56" i="1"/>
  <c r="F56" i="1"/>
  <c r="I56" i="1"/>
  <c r="AM56" i="1"/>
  <c r="Q56" i="1"/>
  <c r="AE56" i="1"/>
  <c r="W51" i="48"/>
  <c r="O51" i="48"/>
  <c r="AU51" i="48"/>
  <c r="K51" i="48"/>
  <c r="U51" i="48"/>
  <c r="T51" i="48"/>
  <c r="L51" i="48"/>
  <c r="AR51" i="48"/>
  <c r="AO51" i="48"/>
  <c r="X51" i="48"/>
  <c r="Y51" i="48"/>
  <c r="AL51" i="48"/>
  <c r="AK51" i="48"/>
  <c r="R41" i="46"/>
  <c r="O55" i="1"/>
  <c r="AE55" i="1"/>
  <c r="AD55" i="1"/>
  <c r="W55" i="1"/>
  <c r="U55" i="1"/>
  <c r="X55" i="1"/>
  <c r="E55" i="1"/>
  <c r="AJ55" i="1"/>
  <c r="T55" i="1"/>
  <c r="M55" i="1"/>
  <c r="AS55" i="1"/>
  <c r="P55" i="1"/>
  <c r="S55" i="1"/>
  <c r="I55" i="1"/>
  <c r="AI55" i="1"/>
  <c r="AN47" i="48"/>
  <c r="V44" i="1"/>
  <c r="R44" i="49"/>
  <c r="L55" i="47"/>
  <c r="AU58" i="43"/>
  <c r="AS58" i="43"/>
  <c r="AR58" i="43"/>
  <c r="AQ58" i="43"/>
  <c r="H56" i="35"/>
  <c r="AU52" i="58"/>
  <c r="AH52" i="58"/>
  <c r="AD52" i="58"/>
  <c r="AA52" i="58"/>
  <c r="AR52" i="58"/>
  <c r="AQ52" i="58"/>
  <c r="AO52" i="58"/>
  <c r="AP52" i="58"/>
  <c r="Y52" i="58"/>
  <c r="Q52" i="58"/>
  <c r="N52" i="58"/>
  <c r="Z52" i="58"/>
  <c r="U56" i="48"/>
  <c r="W56" i="48"/>
  <c r="AQ65" i="47"/>
  <c r="X65" i="47"/>
  <c r="U65" i="47"/>
  <c r="R65" i="47"/>
  <c r="K65" i="47"/>
  <c r="J65" i="47"/>
  <c r="AS65" i="47"/>
  <c r="G65" i="47"/>
  <c r="AN65" i="47"/>
  <c r="AM65" i="47"/>
  <c r="AL65" i="47"/>
  <c r="AK65" i="47"/>
  <c r="AF65" i="47"/>
  <c r="AE65" i="47"/>
  <c r="E60" i="1"/>
  <c r="AE60" i="1"/>
  <c r="AQ60" i="1"/>
  <c r="J60" i="1"/>
  <c r="G60" i="1"/>
  <c r="H60" i="1"/>
  <c r="AR60" i="1"/>
  <c r="T60" i="1"/>
  <c r="S60" i="1"/>
  <c r="AP60" i="1"/>
  <c r="AT60" i="1"/>
  <c r="AG51" i="51"/>
  <c r="F51" i="51"/>
  <c r="AL51" i="51"/>
  <c r="AK51" i="51"/>
  <c r="S57" i="46"/>
  <c r="X57" i="46"/>
  <c r="T57" i="46"/>
  <c r="AG57" i="46"/>
  <c r="AI57" i="46"/>
  <c r="K60" i="1"/>
  <c r="E59" i="1"/>
  <c r="Q59" i="1"/>
  <c r="S59" i="1"/>
  <c r="P59" i="1"/>
  <c r="AG59" i="1"/>
  <c r="AH59" i="1"/>
  <c r="AS59" i="1"/>
  <c r="AD59" i="1"/>
  <c r="N59" i="1"/>
  <c r="E58" i="47"/>
  <c r="AQ41" i="39"/>
  <c r="AE41" i="39"/>
  <c r="J48" i="1"/>
  <c r="I60" i="1"/>
  <c r="I58" i="1"/>
  <c r="O58" i="1"/>
  <c r="AO58" i="1"/>
  <c r="Q47" i="48"/>
  <c r="AQ62" i="58"/>
  <c r="T62" i="58"/>
  <c r="AO62" i="58"/>
  <c r="S62" i="58"/>
  <c r="AN62" i="58"/>
  <c r="Q62" i="58"/>
  <c r="N62" i="58"/>
  <c r="AL62" i="58"/>
  <c r="H62" i="58"/>
  <c r="L62" i="58"/>
  <c r="AR62" i="58"/>
  <c r="J62" i="58"/>
  <c r="AD62" i="58"/>
  <c r="V62" i="58"/>
  <c r="G62" i="58"/>
  <c r="AA62" i="58"/>
  <c r="X62" i="58"/>
  <c r="W62" i="58"/>
  <c r="F62" i="58"/>
  <c r="T45" i="1"/>
  <c r="AU45" i="1"/>
  <c r="AM45" i="1"/>
  <c r="AT45" i="1"/>
  <c r="K45" i="1"/>
  <c r="H45" i="1"/>
  <c r="AQ45" i="1"/>
  <c r="AL45" i="1"/>
  <c r="AD45" i="1"/>
  <c r="AF45" i="1"/>
  <c r="O45" i="1"/>
  <c r="R45" i="1"/>
  <c r="U45" i="1"/>
  <c r="Z45" i="1"/>
  <c r="AA45" i="1"/>
  <c r="N45" i="1"/>
  <c r="S45" i="1"/>
  <c r="AG45" i="1"/>
  <c r="I66" i="52"/>
  <c r="AS64" i="46"/>
  <c r="T64" i="40"/>
  <c r="Q64" i="40"/>
  <c r="S60" i="39"/>
  <c r="G59" i="1"/>
  <c r="J66" i="52"/>
  <c r="AK47" i="48"/>
  <c r="J61" i="46"/>
  <c r="AN45" i="1"/>
  <c r="Z59" i="1"/>
  <c r="T43" i="1"/>
  <c r="J43" i="1"/>
  <c r="AR43" i="1"/>
  <c r="AI43" i="1"/>
  <c r="I43" i="1"/>
  <c r="X43" i="1"/>
  <c r="AD43" i="1"/>
  <c r="AA43" i="1"/>
  <c r="AU43" i="1"/>
  <c r="F43" i="1"/>
  <c r="Z43" i="1"/>
  <c r="E43" i="1"/>
  <c r="Q43" i="1"/>
  <c r="E48" i="53"/>
  <c r="AL48" i="53"/>
  <c r="AM48" i="53"/>
  <c r="AK48" i="53"/>
  <c r="AI48" i="53"/>
  <c r="V48" i="53"/>
  <c r="AD49" i="35"/>
  <c r="AQ49" i="35"/>
  <c r="H49" i="35"/>
  <c r="AP49" i="35"/>
  <c r="F49" i="35"/>
  <c r="AO49" i="35"/>
  <c r="E49" i="35"/>
  <c r="AH49" i="35"/>
  <c r="X49" i="35"/>
  <c r="AE49" i="35"/>
  <c r="Z49" i="35"/>
  <c r="U49" i="35"/>
  <c r="K49" i="35"/>
  <c r="AR49" i="35"/>
  <c r="W49" i="35"/>
  <c r="M49" i="35"/>
  <c r="AU56" i="58"/>
  <c r="Y56" i="58"/>
  <c r="X56" i="58"/>
  <c r="Q56" i="58"/>
  <c r="AN56" i="58"/>
  <c r="Z56" i="58"/>
  <c r="AH56" i="58"/>
  <c r="AD56" i="58"/>
  <c r="AR56" i="58"/>
  <c r="L56" i="58"/>
  <c r="K56" i="58"/>
  <c r="J56" i="58"/>
  <c r="AQ56" i="58"/>
  <c r="AP56" i="58"/>
  <c r="M56" i="58"/>
  <c r="AJ62" i="58"/>
  <c r="S48" i="1"/>
  <c r="AH45" i="1"/>
  <c r="AU46" i="47"/>
  <c r="AR46" i="47"/>
  <c r="AM46" i="47"/>
  <c r="AP49" i="43"/>
  <c r="AO49" i="43"/>
  <c r="W49" i="43"/>
  <c r="G49" i="43"/>
  <c r="AN49" i="43"/>
  <c r="V49" i="43"/>
  <c r="F49" i="43"/>
  <c r="AM49" i="43"/>
  <c r="U49" i="43"/>
  <c r="E49" i="43"/>
  <c r="AQ49" i="43"/>
  <c r="N49" i="43"/>
  <c r="K49" i="43"/>
  <c r="AL49" i="43"/>
  <c r="M49" i="43"/>
  <c r="AK49" i="43"/>
  <c r="L49" i="43"/>
  <c r="AI49" i="43"/>
  <c r="AE49" i="43"/>
  <c r="Y49" i="43"/>
  <c r="AA49" i="43"/>
  <c r="Z49" i="43"/>
  <c r="X49" i="43"/>
  <c r="T49" i="43"/>
  <c r="I54" i="39"/>
  <c r="J49" i="35"/>
  <c r="AO55" i="1"/>
  <c r="AQ48" i="1"/>
  <c r="F48" i="1"/>
  <c r="AA55" i="1"/>
  <c r="V43" i="1"/>
  <c r="E45" i="1"/>
  <c r="O47" i="1"/>
  <c r="AN55" i="1"/>
  <c r="AP45" i="1"/>
  <c r="AF60" i="1"/>
  <c r="AR56" i="1"/>
  <c r="G45" i="1"/>
  <c r="AJ43" i="1"/>
  <c r="AN42" i="56"/>
  <c r="AO42" i="56"/>
  <c r="AM46" i="53"/>
  <c r="AO46" i="53"/>
  <c r="L46" i="53"/>
  <c r="AK46" i="53"/>
  <c r="I46" i="53"/>
  <c r="AF46" i="53"/>
  <c r="AA46" i="53"/>
  <c r="Y46" i="53"/>
  <c r="AL46" i="53"/>
  <c r="R46" i="53"/>
  <c r="AH46" i="53"/>
  <c r="N46" i="53"/>
  <c r="W46" i="53"/>
  <c r="S46" i="53"/>
  <c r="AK50" i="52"/>
  <c r="M50" i="52"/>
  <c r="P50" i="52"/>
  <c r="O50" i="52"/>
  <c r="O43" i="1"/>
  <c r="AO60" i="1"/>
  <c r="AT55" i="1"/>
  <c r="AD44" i="1"/>
  <c r="AF43" i="1"/>
  <c r="S42" i="56"/>
  <c r="G46" i="53"/>
  <c r="T44" i="49"/>
  <c r="AQ47" i="47"/>
  <c r="AU64" i="47"/>
  <c r="S49" i="43"/>
  <c r="L58" i="43"/>
  <c r="J56" i="35"/>
  <c r="J52" i="58"/>
  <c r="AU58" i="58"/>
  <c r="AO58" i="58"/>
  <c r="AH58" i="58"/>
  <c r="AD58" i="58"/>
  <c r="N58" i="58"/>
  <c r="J58" i="58"/>
  <c r="L58" i="58"/>
  <c r="K58" i="58"/>
  <c r="AS58" i="58"/>
  <c r="R58" i="58"/>
  <c r="AR58" i="58"/>
  <c r="AP58" i="58"/>
  <c r="AA58" i="58"/>
  <c r="Z58" i="58"/>
  <c r="X58" i="58"/>
  <c r="J57" i="38"/>
  <c r="AT57" i="38"/>
  <c r="AO42" i="1"/>
  <c r="Y42" i="1"/>
  <c r="AR42" i="1"/>
  <c r="AG47" i="56"/>
  <c r="AO57" i="52"/>
  <c r="X57" i="52"/>
  <c r="P57" i="52"/>
  <c r="R57" i="52"/>
  <c r="N57" i="52"/>
  <c r="M57" i="52"/>
  <c r="AO63" i="46"/>
  <c r="AJ63" i="46"/>
  <c r="AH63" i="46"/>
  <c r="O63" i="46"/>
  <c r="N63" i="46"/>
  <c r="G63" i="46"/>
  <c r="P44" i="47"/>
  <c r="E49" i="58"/>
  <c r="AT54" i="58"/>
  <c r="AA54" i="58"/>
  <c r="K54" i="58"/>
  <c r="AS54" i="58"/>
  <c r="Z54" i="58"/>
  <c r="J54" i="58"/>
  <c r="AR54" i="58"/>
  <c r="Y54" i="58"/>
  <c r="H54" i="58"/>
  <c r="AN54" i="58"/>
  <c r="P54" i="58"/>
  <c r="AK54" i="58"/>
  <c r="L54" i="58"/>
  <c r="AM54" i="58"/>
  <c r="N54" i="58"/>
  <c r="AL54" i="58"/>
  <c r="M54" i="58"/>
  <c r="AP54" i="58"/>
  <c r="I57" i="52"/>
  <c r="F63" i="46"/>
  <c r="U44" i="47"/>
  <c r="O47" i="43"/>
  <c r="K47" i="43"/>
  <c r="H47" i="43"/>
  <c r="AA47" i="43"/>
  <c r="V47" i="43"/>
  <c r="P47" i="43"/>
  <c r="Q65" i="43"/>
  <c r="K51" i="39"/>
  <c r="I64" i="39"/>
  <c r="H56" i="38"/>
  <c r="AT55" i="58"/>
  <c r="AO55" i="58"/>
  <c r="AG55" i="58"/>
  <c r="AD55" i="58"/>
  <c r="AP55" i="58"/>
  <c r="AA55" i="58"/>
  <c r="Y55" i="58"/>
  <c r="X55" i="58"/>
  <c r="T64" i="1"/>
  <c r="AS64" i="1"/>
  <c r="AN49" i="52"/>
  <c r="E49" i="52"/>
  <c r="AK49" i="52"/>
  <c r="V49" i="52"/>
  <c r="U49" i="52"/>
  <c r="S49" i="52"/>
  <c r="K57" i="52"/>
  <c r="X49" i="51"/>
  <c r="AR50" i="49"/>
  <c r="AN50" i="49"/>
  <c r="Q50" i="49"/>
  <c r="AJ50" i="49"/>
  <c r="K50" i="49"/>
  <c r="AH50" i="49"/>
  <c r="G50" i="49"/>
  <c r="AG50" i="49"/>
  <c r="F50" i="49"/>
  <c r="AF50" i="49"/>
  <c r="E50" i="49"/>
  <c r="AS50" i="49"/>
  <c r="P58" i="49"/>
  <c r="U63" i="46"/>
  <c r="L42" i="47"/>
  <c r="AI44" i="47"/>
  <c r="AG47" i="43"/>
  <c r="Q53" i="43"/>
  <c r="AH53" i="43"/>
  <c r="AG53" i="43"/>
  <c r="AA53" i="43"/>
  <c r="AI53" i="43"/>
  <c r="AN53" i="43"/>
  <c r="G60" i="43"/>
  <c r="Z65" i="43"/>
  <c r="X58" i="39"/>
  <c r="Y64" i="39"/>
  <c r="AS42" i="38"/>
  <c r="AN42" i="38"/>
  <c r="AQ42" i="38"/>
  <c r="I56" i="38"/>
  <c r="M45" i="35"/>
  <c r="AK59" i="35"/>
  <c r="AJ59" i="35"/>
  <c r="AH59" i="35"/>
  <c r="AP59" i="35"/>
  <c r="F65" i="35"/>
  <c r="G49" i="58"/>
  <c r="AK49" i="58"/>
  <c r="G54" i="58"/>
  <c r="I55" i="58"/>
  <c r="AP50" i="56"/>
  <c r="AU50" i="56"/>
  <c r="AL55" i="56"/>
  <c r="X55" i="56"/>
  <c r="AI64" i="56"/>
  <c r="AO64" i="56"/>
  <c r="U50" i="53"/>
  <c r="Z57" i="53"/>
  <c r="F49" i="52"/>
  <c r="L57" i="52"/>
  <c r="Z49" i="51"/>
  <c r="U56" i="51"/>
  <c r="H56" i="51"/>
  <c r="H50" i="49"/>
  <c r="AU50" i="49"/>
  <c r="Z58" i="48"/>
  <c r="J58" i="48"/>
  <c r="AQ58" i="48"/>
  <c r="H58" i="48"/>
  <c r="Y58" i="48"/>
  <c r="W58" i="48"/>
  <c r="U58" i="48"/>
  <c r="Q58" i="46"/>
  <c r="L58" i="46"/>
  <c r="J58" i="46"/>
  <c r="Y58" i="46"/>
  <c r="W58" i="46"/>
  <c r="T58" i="46"/>
  <c r="X63" i="46"/>
  <c r="O42" i="47"/>
  <c r="AH47" i="43"/>
  <c r="I60" i="43"/>
  <c r="AF65" i="43"/>
  <c r="R49" i="39"/>
  <c r="H49" i="39"/>
  <c r="F49" i="39"/>
  <c r="AQ49" i="39"/>
  <c r="AR49" i="39"/>
  <c r="AS52" i="39"/>
  <c r="AG52" i="39"/>
  <c r="AF52" i="39"/>
  <c r="T52" i="39"/>
  <c r="I52" i="39"/>
  <c r="Q52" i="39"/>
  <c r="K52" i="39"/>
  <c r="AU64" i="39"/>
  <c r="P42" i="38"/>
  <c r="N62" i="38"/>
  <c r="N45" i="35"/>
  <c r="H59" i="35"/>
  <c r="AE61" i="35"/>
  <c r="AP61" i="35"/>
  <c r="AI61" i="35"/>
  <c r="AS47" i="58"/>
  <c r="Q47" i="58"/>
  <c r="P47" i="58"/>
  <c r="O47" i="58"/>
  <c r="AU47" i="58"/>
  <c r="AT47" i="58"/>
  <c r="H49" i="58"/>
  <c r="AL49" i="58"/>
  <c r="R54" i="58"/>
  <c r="K55" i="58"/>
  <c r="AP65" i="58"/>
  <c r="AQ65" i="58"/>
  <c r="Z65" i="58"/>
  <c r="K65" i="58"/>
  <c r="AO65" i="58"/>
  <c r="Y65" i="58"/>
  <c r="J65" i="58"/>
  <c r="AN65" i="58"/>
  <c r="W65" i="58"/>
  <c r="I65" i="58"/>
  <c r="AM65" i="58"/>
  <c r="S65" i="58"/>
  <c r="AK65" i="58"/>
  <c r="R65" i="58"/>
  <c r="O65" i="58"/>
  <c r="AJ65" i="58"/>
  <c r="Q65" i="58"/>
  <c r="AI65" i="58"/>
  <c r="AF65" i="58"/>
  <c r="AK56" i="38"/>
  <c r="AO56" i="38"/>
  <c r="L56" i="38"/>
  <c r="AN56" i="38"/>
  <c r="K56" i="38"/>
  <c r="AM56" i="38"/>
  <c r="J56" i="38"/>
  <c r="AA56" i="38"/>
  <c r="W56" i="38"/>
  <c r="Z56" i="38"/>
  <c r="X56" i="38"/>
  <c r="G56" i="38"/>
  <c r="K65" i="35"/>
  <c r="AD65" i="35"/>
  <c r="S65" i="35"/>
  <c r="N65" i="35"/>
  <c r="AE65" i="35"/>
  <c r="AU65" i="35"/>
  <c r="AG65" i="35"/>
  <c r="E65" i="35"/>
  <c r="AA41" i="56"/>
  <c r="S41" i="56"/>
  <c r="R41" i="56"/>
  <c r="Z41" i="51"/>
  <c r="AU41" i="51"/>
  <c r="E41" i="51"/>
  <c r="AS41" i="51"/>
  <c r="AG41" i="51"/>
  <c r="W41" i="51"/>
  <c r="U41" i="51"/>
  <c r="AM57" i="53"/>
  <c r="T64" i="51"/>
  <c r="X64" i="51"/>
  <c r="Y63" i="46"/>
  <c r="AL53" i="47"/>
  <c r="AN53" i="47"/>
  <c r="AM53" i="47"/>
  <c r="AI53" i="47"/>
  <c r="AE53" i="47"/>
  <c r="W53" i="47"/>
  <c r="T53" i="47"/>
  <c r="AI47" i="43"/>
  <c r="AM65" i="43"/>
  <c r="S65" i="39"/>
  <c r="Q65" i="39"/>
  <c r="N65" i="39"/>
  <c r="AI65" i="39"/>
  <c r="U65" i="39"/>
  <c r="AG65" i="39"/>
  <c r="X65" i="39"/>
  <c r="AL53" i="38"/>
  <c r="X53" i="38"/>
  <c r="R53" i="38"/>
  <c r="AT53" i="38"/>
  <c r="P53" i="38"/>
  <c r="AA53" i="38"/>
  <c r="N53" i="38"/>
  <c r="Z53" i="38"/>
  <c r="O53" i="38"/>
  <c r="AR53" i="38"/>
  <c r="Q56" i="38"/>
  <c r="AJ63" i="38"/>
  <c r="AI63" i="38"/>
  <c r="AH63" i="38"/>
  <c r="AG63" i="38"/>
  <c r="K59" i="35"/>
  <c r="AP43" i="58"/>
  <c r="AR43" i="58"/>
  <c r="Q49" i="58"/>
  <c r="AP53" i="58"/>
  <c r="AO53" i="58"/>
  <c r="Y53" i="58"/>
  <c r="J53" i="58"/>
  <c r="AN53" i="58"/>
  <c r="W53" i="58"/>
  <c r="I53" i="58"/>
  <c r="AM53" i="58"/>
  <c r="V53" i="58"/>
  <c r="H53" i="58"/>
  <c r="AQ53" i="58"/>
  <c r="S53" i="58"/>
  <c r="AI53" i="58"/>
  <c r="AK53" i="58"/>
  <c r="R53" i="58"/>
  <c r="AJ53" i="58"/>
  <c r="Q53" i="58"/>
  <c r="O53" i="58"/>
  <c r="AF53" i="58"/>
  <c r="T54" i="58"/>
  <c r="L55" i="58"/>
  <c r="AN64" i="58"/>
  <c r="Q64" i="58"/>
  <c r="AM64" i="58"/>
  <c r="N64" i="58"/>
  <c r="AL64" i="58"/>
  <c r="M64" i="58"/>
  <c r="AR64" i="58"/>
  <c r="J64" i="58"/>
  <c r="AJ64" i="58"/>
  <c r="AQ64" i="58"/>
  <c r="I64" i="58"/>
  <c r="AO64" i="58"/>
  <c r="H64" i="58"/>
  <c r="F64" i="58"/>
  <c r="AL44" i="46"/>
  <c r="T44" i="46"/>
  <c r="AO60" i="38"/>
  <c r="Z60" i="38"/>
  <c r="Y60" i="38"/>
  <c r="W60" i="38"/>
  <c r="V60" i="38"/>
  <c r="U60" i="38"/>
  <c r="AP49" i="58"/>
  <c r="AQ49" i="58"/>
  <c r="AA49" i="58"/>
  <c r="N49" i="58"/>
  <c r="AO49" i="58"/>
  <c r="Z49" i="58"/>
  <c r="M49" i="58"/>
  <c r="AN49" i="58"/>
  <c r="Y49" i="58"/>
  <c r="L49" i="58"/>
  <c r="AH49" i="58"/>
  <c r="O49" i="58"/>
  <c r="AU49" i="58"/>
  <c r="AE49" i="58"/>
  <c r="I49" i="58"/>
  <c r="AG49" i="58"/>
  <c r="K49" i="58"/>
  <c r="AF49" i="58"/>
  <c r="J49" i="58"/>
  <c r="X49" i="58"/>
  <c r="S57" i="38"/>
  <c r="AI49" i="58"/>
  <c r="X54" i="56"/>
  <c r="AR58" i="49"/>
  <c r="AO58" i="49"/>
  <c r="X48" i="46"/>
  <c r="AR48" i="46"/>
  <c r="AL42" i="47"/>
  <c r="AK42" i="47"/>
  <c r="AU60" i="43"/>
  <c r="AF60" i="43"/>
  <c r="Z60" i="43"/>
  <c r="M60" i="43"/>
  <c r="AS57" i="38"/>
  <c r="AT45" i="35"/>
  <c r="X45" i="35"/>
  <c r="V45" i="35"/>
  <c r="U45" i="35"/>
  <c r="F49" i="58"/>
  <c r="AJ49" i="58"/>
  <c r="F54" i="58"/>
  <c r="AI65" i="1"/>
  <c r="AT41" i="56"/>
  <c r="W50" i="53"/>
  <c r="G49" i="52"/>
  <c r="AJ57" i="52"/>
  <c r="M41" i="51"/>
  <c r="I50" i="49"/>
  <c r="AN58" i="49"/>
  <c r="AK42" i="48"/>
  <c r="E42" i="48"/>
  <c r="AQ45" i="47"/>
  <c r="Q45" i="47"/>
  <c r="N45" i="47"/>
  <c r="AM66" i="56"/>
  <c r="Y66" i="56"/>
  <c r="L66" i="56"/>
  <c r="H49" i="52"/>
  <c r="AK57" i="52"/>
  <c r="Q41" i="51"/>
  <c r="W65" i="51"/>
  <c r="AF65" i="51"/>
  <c r="E65" i="51"/>
  <c r="T65" i="51"/>
  <c r="S65" i="51"/>
  <c r="R65" i="51"/>
  <c r="Q65" i="51"/>
  <c r="AK65" i="51"/>
  <c r="AM45" i="49"/>
  <c r="AK45" i="49"/>
  <c r="U45" i="49"/>
  <c r="J50" i="49"/>
  <c r="Q51" i="49"/>
  <c r="AP58" i="49"/>
  <c r="V42" i="48"/>
  <c r="Z63" i="46"/>
  <c r="Q42" i="47"/>
  <c r="L45" i="47"/>
  <c r="AQ57" i="47"/>
  <c r="AJ47" i="43"/>
  <c r="AN57" i="43"/>
  <c r="AP63" i="43"/>
  <c r="AK63" i="43"/>
  <c r="AI63" i="43"/>
  <c r="AU63" i="43"/>
  <c r="AH63" i="43"/>
  <c r="AE63" i="43"/>
  <c r="AA43" i="40"/>
  <c r="T50" i="40"/>
  <c r="AT50" i="40"/>
  <c r="AS50" i="40"/>
  <c r="AK49" i="39"/>
  <c r="AN59" i="39"/>
  <c r="H65" i="39"/>
  <c r="G53" i="38"/>
  <c r="V56" i="38"/>
  <c r="F63" i="38"/>
  <c r="AM45" i="35"/>
  <c r="O50" i="35"/>
  <c r="L59" i="35"/>
  <c r="N61" i="35"/>
  <c r="O43" i="58"/>
  <c r="AG47" i="58"/>
  <c r="R49" i="58"/>
  <c r="AR49" i="58"/>
  <c r="E53" i="58"/>
  <c r="AG53" i="58"/>
  <c r="V54" i="58"/>
  <c r="M55" i="58"/>
  <c r="E64" i="58"/>
  <c r="F65" i="58"/>
  <c r="AH65" i="58"/>
  <c r="N47" i="39"/>
  <c r="M47" i="39"/>
  <c r="K47" i="39"/>
  <c r="AU59" i="58"/>
  <c r="Z59" i="58"/>
  <c r="Y59" i="58"/>
  <c r="Q59" i="58"/>
  <c r="Q52" i="53"/>
  <c r="L52" i="53"/>
  <c r="H52" i="53"/>
  <c r="AJ45" i="52"/>
  <c r="AI45" i="52"/>
  <c r="W45" i="52"/>
  <c r="AL63" i="49"/>
  <c r="AI63" i="49"/>
  <c r="N55" i="43"/>
  <c r="G61" i="43"/>
  <c r="AE61" i="40"/>
  <c r="K61" i="40"/>
  <c r="J61" i="40"/>
  <c r="I61" i="40"/>
  <c r="L50" i="38"/>
  <c r="AE60" i="35"/>
  <c r="AG60" i="35"/>
  <c r="W60" i="35"/>
  <c r="U60" i="35"/>
  <c r="K59" i="58"/>
  <c r="J60" i="58"/>
  <c r="U61" i="43"/>
  <c r="AU61" i="43"/>
  <c r="S61" i="43"/>
  <c r="AS61" i="43"/>
  <c r="O61" i="43"/>
  <c r="AN57" i="39"/>
  <c r="AG57" i="39"/>
  <c r="Y57" i="39"/>
  <c r="AR60" i="52"/>
  <c r="AQ60" i="52"/>
  <c r="W58" i="51"/>
  <c r="R58" i="51"/>
  <c r="N58" i="51"/>
  <c r="AK58" i="51"/>
  <c r="AD54" i="49"/>
  <c r="O54" i="49"/>
  <c r="AQ54" i="49"/>
  <c r="M54" i="49"/>
  <c r="X65" i="49"/>
  <c r="U65" i="49"/>
  <c r="X64" i="48"/>
  <c r="AT64" i="48"/>
  <c r="AS64" i="48"/>
  <c r="AR64" i="48"/>
  <c r="AI46" i="46"/>
  <c r="AE46" i="46"/>
  <c r="W46" i="46"/>
  <c r="AQ46" i="46"/>
  <c r="AG53" i="46"/>
  <c r="Y53" i="46"/>
  <c r="T53" i="46"/>
  <c r="N53" i="46"/>
  <c r="M56" i="46"/>
  <c r="AN56" i="46"/>
  <c r="AJ56" i="46"/>
  <c r="N56" i="46"/>
  <c r="AG54" i="43"/>
  <c r="AD54" i="43"/>
  <c r="AA54" i="43"/>
  <c r="O55" i="43"/>
  <c r="I61" i="43"/>
  <c r="AM61" i="43"/>
  <c r="AS47" i="40"/>
  <c r="AP47" i="40"/>
  <c r="M50" i="39"/>
  <c r="AN50" i="39"/>
  <c r="AF50" i="39"/>
  <c r="AE50" i="39"/>
  <c r="AQ57" i="39"/>
  <c r="AA50" i="38"/>
  <c r="AR45" i="58"/>
  <c r="AJ45" i="58"/>
  <c r="J45" i="58"/>
  <c r="AG45" i="58"/>
  <c r="I45" i="58"/>
  <c r="AD45" i="58"/>
  <c r="E45" i="58"/>
  <c r="AM45" i="58"/>
  <c r="AP48" i="58"/>
  <c r="AU48" i="58"/>
  <c r="AT48" i="58"/>
  <c r="AG48" i="58"/>
  <c r="AT50" i="58"/>
  <c r="X50" i="58"/>
  <c r="Q50" i="58"/>
  <c r="N50" i="58"/>
  <c r="L59" i="58"/>
  <c r="AI61" i="43"/>
  <c r="AU60" i="58"/>
  <c r="N60" i="58"/>
  <c r="M60" i="58"/>
  <c r="L60" i="58"/>
  <c r="U52" i="53"/>
  <c r="F45" i="52"/>
  <c r="V47" i="52"/>
  <c r="E58" i="51"/>
  <c r="AR58" i="51"/>
  <c r="AA42" i="49"/>
  <c r="AJ42" i="49"/>
  <c r="N54" i="49"/>
  <c r="L63" i="49"/>
  <c r="H65" i="49"/>
  <c r="L64" i="48"/>
  <c r="F46" i="46"/>
  <c r="AU46" i="46"/>
  <c r="F53" i="46"/>
  <c r="L56" i="46"/>
  <c r="H54" i="43"/>
  <c r="Q55" i="43"/>
  <c r="J61" i="43"/>
  <c r="AR61" i="43"/>
  <c r="E47" i="40"/>
  <c r="O61" i="40"/>
  <c r="V63" i="40"/>
  <c r="N50" i="39"/>
  <c r="AR57" i="39"/>
  <c r="AD50" i="38"/>
  <c r="G64" i="38"/>
  <c r="U43" i="35"/>
  <c r="J60" i="35"/>
  <c r="AD66" i="35"/>
  <c r="Y66" i="35"/>
  <c r="AQ42" i="58"/>
  <c r="AS42" i="58"/>
  <c r="AA42" i="58"/>
  <c r="L42" i="58"/>
  <c r="AR42" i="58"/>
  <c r="Z42" i="58"/>
  <c r="K42" i="58"/>
  <c r="AO42" i="58"/>
  <c r="X42" i="58"/>
  <c r="J42" i="58"/>
  <c r="V42" i="58"/>
  <c r="AU42" i="58"/>
  <c r="K45" i="58"/>
  <c r="AP45" i="58"/>
  <c r="P48" i="58"/>
  <c r="J50" i="58"/>
  <c r="M59" i="58"/>
  <c r="Z60" i="58"/>
  <c r="AO63" i="58"/>
  <c r="T63" i="58"/>
  <c r="AM63" i="58"/>
  <c r="Q63" i="58"/>
  <c r="AL63" i="58"/>
  <c r="M63" i="58"/>
  <c r="AD63" i="58"/>
  <c r="AN66" i="51"/>
  <c r="Z52" i="47"/>
  <c r="AD56" i="43"/>
  <c r="Y42" i="39"/>
  <c r="AR46" i="38"/>
  <c r="AD64" i="35"/>
  <c r="S44" i="58"/>
  <c r="AI44" i="58"/>
  <c r="AP51" i="58"/>
  <c r="Q61" i="58"/>
  <c r="AF61" i="58"/>
  <c r="AS61" i="58"/>
  <c r="AH56" i="43"/>
  <c r="AE64" i="35"/>
  <c r="T44" i="58"/>
  <c r="AJ44" i="58"/>
  <c r="AI55" i="52"/>
  <c r="J66" i="51"/>
  <c r="AR66" i="51"/>
  <c r="K42" i="46"/>
  <c r="R48" i="43"/>
  <c r="G56" i="43"/>
  <c r="AN45" i="40"/>
  <c r="H60" i="40"/>
  <c r="H46" i="38"/>
  <c r="P55" i="38"/>
  <c r="E64" i="35"/>
  <c r="AH64" i="35"/>
  <c r="E44" i="58"/>
  <c r="U44" i="58"/>
  <c r="K51" i="58"/>
  <c r="AS51" i="58"/>
  <c r="F61" i="58"/>
  <c r="S61" i="58"/>
  <c r="AH61" i="58"/>
  <c r="AU61" i="58"/>
  <c r="D31" i="59"/>
  <c r="T57" i="49"/>
  <c r="AJ57" i="46"/>
  <c r="G57" i="46"/>
  <c r="AL57" i="46"/>
  <c r="H57" i="53"/>
  <c r="H57" i="46"/>
  <c r="AM57" i="46"/>
  <c r="I57" i="53"/>
  <c r="S57" i="52"/>
  <c r="I57" i="46"/>
  <c r="AT57" i="46"/>
  <c r="AE57" i="47"/>
  <c r="V57" i="43"/>
  <c r="J57" i="46"/>
  <c r="U57" i="53"/>
  <c r="AA57" i="52"/>
  <c r="Q57" i="46"/>
  <c r="T57" i="38"/>
  <c r="AR57" i="49"/>
  <c r="Q57" i="53"/>
  <c r="V57" i="53"/>
  <c r="AG57" i="52"/>
  <c r="R57" i="46"/>
  <c r="W57" i="38"/>
  <c r="Y57" i="53"/>
  <c r="E57" i="52"/>
  <c r="AI57" i="52"/>
  <c r="AL57" i="38"/>
  <c r="F30" i="58"/>
  <c r="G30" i="58"/>
  <c r="U5" i="58" s="1"/>
  <c r="AU46" i="58"/>
  <c r="M41" i="58"/>
  <c r="Y41" i="58"/>
  <c r="AM41" i="58"/>
  <c r="M43" i="58"/>
  <c r="Z43" i="58"/>
  <c r="AO43" i="58"/>
  <c r="O46" i="58"/>
  <c r="AD46" i="58"/>
  <c r="AR46" i="58"/>
  <c r="M47" i="58"/>
  <c r="AA47" i="58"/>
  <c r="AQ47" i="58"/>
  <c r="M48" i="58"/>
  <c r="AD48" i="58"/>
  <c r="AR48" i="58"/>
  <c r="G50" i="58"/>
  <c r="V50" i="58"/>
  <c r="AL50" i="58"/>
  <c r="H51" i="58"/>
  <c r="V51" i="58"/>
  <c r="AL51" i="58"/>
  <c r="H52" i="58"/>
  <c r="V52" i="58"/>
  <c r="AM52" i="58"/>
  <c r="G55" i="58"/>
  <c r="U55" i="58"/>
  <c r="AL55" i="58"/>
  <c r="H56" i="58"/>
  <c r="V56" i="58"/>
  <c r="AL56" i="58"/>
  <c r="G57" i="58"/>
  <c r="V57" i="58"/>
  <c r="AM57" i="58"/>
  <c r="H58" i="58"/>
  <c r="V58" i="58"/>
  <c r="AL58" i="58"/>
  <c r="H59" i="58"/>
  <c r="W59" i="58"/>
  <c r="AM59" i="58"/>
  <c r="H60" i="58"/>
  <c r="V60" i="58"/>
  <c r="AM60" i="58"/>
  <c r="P66" i="58"/>
  <c r="AG66" i="58"/>
  <c r="AK66" i="58"/>
  <c r="AH46" i="58"/>
  <c r="N41" i="58"/>
  <c r="Z41" i="58"/>
  <c r="AN41" i="58"/>
  <c r="N43" i="58"/>
  <c r="AA43" i="58"/>
  <c r="F45" i="58"/>
  <c r="S45" i="58"/>
  <c r="AI45" i="58"/>
  <c r="P46" i="58"/>
  <c r="AE46" i="58"/>
  <c r="AS46" i="58"/>
  <c r="N47" i="58"/>
  <c r="AD47" i="58"/>
  <c r="N48" i="58"/>
  <c r="AE48" i="58"/>
  <c r="AS48" i="58"/>
  <c r="H50" i="58"/>
  <c r="W50" i="58"/>
  <c r="AN50" i="58"/>
  <c r="I51" i="58"/>
  <c r="W51" i="58"/>
  <c r="AM51" i="58"/>
  <c r="I52" i="58"/>
  <c r="X52" i="58"/>
  <c r="AN52" i="58"/>
  <c r="H55" i="58"/>
  <c r="W55" i="58"/>
  <c r="AM55" i="58"/>
  <c r="I56" i="58"/>
  <c r="W56" i="58"/>
  <c r="AM56" i="58"/>
  <c r="I57" i="58"/>
  <c r="W57" i="58"/>
  <c r="AN57" i="58"/>
  <c r="I58" i="58"/>
  <c r="W58" i="58"/>
  <c r="AN58" i="58"/>
  <c r="I59" i="58"/>
  <c r="X59" i="58"/>
  <c r="AN59" i="58"/>
  <c r="I60" i="58"/>
  <c r="X60" i="58"/>
  <c r="AN60" i="58"/>
  <c r="AM62" i="58"/>
  <c r="Y62" i="58"/>
  <c r="M62" i="58"/>
  <c r="AU62" i="58"/>
  <c r="AI62" i="58"/>
  <c r="U62" i="58"/>
  <c r="I62" i="58"/>
  <c r="R62" i="58"/>
  <c r="AH62" i="58"/>
  <c r="AR63" i="58"/>
  <c r="AF63" i="58"/>
  <c r="R63" i="58"/>
  <c r="F63" i="58"/>
  <c r="AN63" i="58"/>
  <c r="Z63" i="58"/>
  <c r="N63" i="58"/>
  <c r="S63" i="58"/>
  <c r="AI63" i="58"/>
  <c r="AK64" i="58"/>
  <c r="W64" i="58"/>
  <c r="K64" i="58"/>
  <c r="AS64" i="58"/>
  <c r="AG64" i="58"/>
  <c r="S64" i="58"/>
  <c r="G64" i="58"/>
  <c r="R64" i="58"/>
  <c r="AI64" i="58"/>
  <c r="R66" i="58"/>
  <c r="AH66" i="58"/>
  <c r="G66" i="58"/>
  <c r="V66" i="58"/>
  <c r="Q46" i="58"/>
  <c r="AU66" i="58"/>
  <c r="AI66" i="58"/>
  <c r="U66" i="58"/>
  <c r="I66" i="58"/>
  <c r="AQ66" i="58"/>
  <c r="AE66" i="58"/>
  <c r="Q66" i="58"/>
  <c r="E66" i="58"/>
  <c r="AJ66" i="58"/>
  <c r="P41" i="58"/>
  <c r="AD41" i="58"/>
  <c r="AP41" i="58"/>
  <c r="E46" i="58"/>
  <c r="AG46" i="58"/>
  <c r="F66" i="58"/>
  <c r="E41" i="58"/>
  <c r="AE41" i="58"/>
  <c r="AJ43" i="58"/>
  <c r="V43" i="58"/>
  <c r="J43" i="58"/>
  <c r="AS43" i="58"/>
  <c r="F41" i="58"/>
  <c r="R41" i="58"/>
  <c r="AF41" i="58"/>
  <c r="AR41" i="58"/>
  <c r="E43" i="58"/>
  <c r="AG43" i="58"/>
  <c r="AJ47" i="58"/>
  <c r="V47" i="58"/>
  <c r="J47" i="58"/>
  <c r="AR47" i="58"/>
  <c r="AF47" i="58"/>
  <c r="R47" i="58"/>
  <c r="F47" i="58"/>
  <c r="E48" i="58"/>
  <c r="G41" i="58"/>
  <c r="S41" i="58"/>
  <c r="AG41" i="58"/>
  <c r="AS41" i="58"/>
  <c r="F43" i="58"/>
  <c r="S43" i="58"/>
  <c r="AH43" i="58"/>
  <c r="AU43" i="58"/>
  <c r="L45" i="58"/>
  <c r="Y45" i="58"/>
  <c r="AN45" i="58"/>
  <c r="H46" i="58"/>
  <c r="U46" i="58"/>
  <c r="AJ46" i="58"/>
  <c r="E47" i="58"/>
  <c r="T47" i="58"/>
  <c r="AK47" i="58"/>
  <c r="F48" i="58"/>
  <c r="T48" i="58"/>
  <c r="AJ48" i="58"/>
  <c r="O50" i="58"/>
  <c r="AE50" i="58"/>
  <c r="AS50" i="58"/>
  <c r="O51" i="58"/>
  <c r="AE51" i="58"/>
  <c r="AT51" i="58"/>
  <c r="O52" i="58"/>
  <c r="AE52" i="58"/>
  <c r="AT52" i="58"/>
  <c r="O55" i="58"/>
  <c r="AE55" i="58"/>
  <c r="AS55" i="58"/>
  <c r="N56" i="58"/>
  <c r="AE56" i="58"/>
  <c r="AT56" i="58"/>
  <c r="O57" i="58"/>
  <c r="AE57" i="58"/>
  <c r="AS57" i="58"/>
  <c r="O58" i="58"/>
  <c r="AF58" i="58"/>
  <c r="AT58" i="58"/>
  <c r="O59" i="58"/>
  <c r="AE59" i="58"/>
  <c r="AT59" i="58"/>
  <c r="P60" i="58"/>
  <c r="AF60" i="58"/>
  <c r="AT60" i="58"/>
  <c r="J66" i="58"/>
  <c r="X66" i="58"/>
  <c r="AN66" i="58"/>
  <c r="R43" i="58"/>
  <c r="AT43" i="58"/>
  <c r="G46" i="58"/>
  <c r="T46" i="58"/>
  <c r="AI46" i="58"/>
  <c r="S47" i="58"/>
  <c r="AI47" i="58"/>
  <c r="S48" i="58"/>
  <c r="AI48" i="58"/>
  <c r="H66" i="58"/>
  <c r="W66" i="58"/>
  <c r="AM66" i="58"/>
  <c r="H41" i="58"/>
  <c r="T41" i="58"/>
  <c r="AH41" i="58"/>
  <c r="AT41" i="58"/>
  <c r="M42" i="58"/>
  <c r="Y42" i="58"/>
  <c r="AM42" i="58"/>
  <c r="G43" i="58"/>
  <c r="T43" i="58"/>
  <c r="AI43" i="58"/>
  <c r="AO44" i="58"/>
  <c r="AA44" i="58"/>
  <c r="O44" i="58"/>
  <c r="Q44" i="58"/>
  <c r="AF44" i="58"/>
  <c r="AS44" i="58"/>
  <c r="M45" i="58"/>
  <c r="Z45" i="58"/>
  <c r="AO45" i="58"/>
  <c r="I46" i="58"/>
  <c r="V46" i="58"/>
  <c r="AK46" i="58"/>
  <c r="G47" i="58"/>
  <c r="U47" i="58"/>
  <c r="AL47" i="58"/>
  <c r="G48" i="58"/>
  <c r="U48" i="58"/>
  <c r="AL48" i="58"/>
  <c r="P50" i="58"/>
  <c r="AF50" i="58"/>
  <c r="P51" i="58"/>
  <c r="AG51" i="58"/>
  <c r="P52" i="58"/>
  <c r="AF52" i="58"/>
  <c r="O54" i="58"/>
  <c r="AF54" i="58"/>
  <c r="P55" i="58"/>
  <c r="AF55" i="58"/>
  <c r="P56" i="58"/>
  <c r="AF56" i="58"/>
  <c r="P57" i="58"/>
  <c r="AF57" i="58"/>
  <c r="P58" i="58"/>
  <c r="AG58" i="58"/>
  <c r="P59" i="58"/>
  <c r="AG59" i="58"/>
  <c r="Q60" i="58"/>
  <c r="AG60" i="58"/>
  <c r="K62" i="58"/>
  <c r="Z62" i="58"/>
  <c r="AP62" i="58"/>
  <c r="K63" i="58"/>
  <c r="Y63" i="58"/>
  <c r="AP63" i="58"/>
  <c r="L64" i="58"/>
  <c r="Z64" i="58"/>
  <c r="AP64" i="58"/>
  <c r="K66" i="58"/>
  <c r="Y66" i="58"/>
  <c r="AO66" i="58"/>
  <c r="U43" i="58"/>
  <c r="H47" i="58"/>
  <c r="AO60" i="58"/>
  <c r="AA60" i="58"/>
  <c r="O60" i="58"/>
  <c r="AK60" i="58"/>
  <c r="W60" i="58"/>
  <c r="K60" i="58"/>
  <c r="R60" i="58"/>
  <c r="AH60" i="58"/>
  <c r="L66" i="58"/>
  <c r="Z66" i="58"/>
  <c r="AP66" i="58"/>
  <c r="J41" i="58"/>
  <c r="V41" i="58"/>
  <c r="AJ41" i="58"/>
  <c r="I43" i="58"/>
  <c r="W43" i="58"/>
  <c r="AL43" i="58"/>
  <c r="K46" i="58"/>
  <c r="X46" i="58"/>
  <c r="AN46" i="58"/>
  <c r="I47" i="58"/>
  <c r="X47" i="58"/>
  <c r="AN47" i="58"/>
  <c r="I48" i="58"/>
  <c r="X48" i="58"/>
  <c r="AN48" i="58"/>
  <c r="AM50" i="58"/>
  <c r="Y50" i="58"/>
  <c r="M50" i="58"/>
  <c r="AU50" i="58"/>
  <c r="AI50" i="58"/>
  <c r="U50" i="58"/>
  <c r="I50" i="58"/>
  <c r="R50" i="58"/>
  <c r="AH50" i="58"/>
  <c r="AR51" i="58"/>
  <c r="AF51" i="58"/>
  <c r="R51" i="58"/>
  <c r="F51" i="58"/>
  <c r="AN51" i="58"/>
  <c r="Z51" i="58"/>
  <c r="N51" i="58"/>
  <c r="S51" i="58"/>
  <c r="AI51" i="58"/>
  <c r="AK52" i="58"/>
  <c r="W52" i="58"/>
  <c r="K52" i="58"/>
  <c r="AS52" i="58"/>
  <c r="AG52" i="58"/>
  <c r="S52" i="58"/>
  <c r="G52" i="58"/>
  <c r="R52" i="58"/>
  <c r="AI52" i="58"/>
  <c r="AN55" i="58"/>
  <c r="Z55" i="58"/>
  <c r="N55" i="58"/>
  <c r="AJ55" i="58"/>
  <c r="V55" i="58"/>
  <c r="J55" i="58"/>
  <c r="R55" i="58"/>
  <c r="AH55" i="58"/>
  <c r="AS56" i="58"/>
  <c r="AG56" i="58"/>
  <c r="S56" i="58"/>
  <c r="G56" i="58"/>
  <c r="AO56" i="58"/>
  <c r="AA56" i="58"/>
  <c r="O56" i="58"/>
  <c r="R56" i="58"/>
  <c r="AI56" i="58"/>
  <c r="AL57" i="58"/>
  <c r="X57" i="58"/>
  <c r="L57" i="58"/>
  <c r="AT57" i="58"/>
  <c r="AH57" i="58"/>
  <c r="T57" i="58"/>
  <c r="H57" i="58"/>
  <c r="R57" i="58"/>
  <c r="AI57" i="58"/>
  <c r="AQ58" i="58"/>
  <c r="AE58" i="58"/>
  <c r="Q58" i="58"/>
  <c r="E58" i="58"/>
  <c r="AM58" i="58"/>
  <c r="Y58" i="58"/>
  <c r="M58" i="58"/>
  <c r="S58" i="58"/>
  <c r="AI58" i="58"/>
  <c r="AJ59" i="58"/>
  <c r="V59" i="58"/>
  <c r="J59" i="58"/>
  <c r="AR59" i="58"/>
  <c r="AF59" i="58"/>
  <c r="R59" i="58"/>
  <c r="F59" i="58"/>
  <c r="S59" i="58"/>
  <c r="AI59" i="58"/>
  <c r="E60" i="58"/>
  <c r="S60" i="58"/>
  <c r="AI60" i="58"/>
  <c r="M66" i="58"/>
  <c r="AA66" i="58"/>
  <c r="AR66" i="58"/>
  <c r="U41" i="58"/>
  <c r="AU41" i="58"/>
  <c r="H43" i="58"/>
  <c r="AK43" i="58"/>
  <c r="J46" i="58"/>
  <c r="AL46" i="58"/>
  <c r="AM47" i="58"/>
  <c r="V48" i="58"/>
  <c r="K41" i="58"/>
  <c r="W41" i="58"/>
  <c r="AK41" i="58"/>
  <c r="P42" i="58"/>
  <c r="AD42" i="58"/>
  <c r="AP42" i="58"/>
  <c r="K43" i="58"/>
  <c r="X43" i="58"/>
  <c r="AM43" i="58"/>
  <c r="P45" i="58"/>
  <c r="AE45" i="58"/>
  <c r="L46" i="58"/>
  <c r="Z46" i="58"/>
  <c r="K47" i="58"/>
  <c r="Y47" i="58"/>
  <c r="AO47" i="58"/>
  <c r="J48" i="58"/>
  <c r="Y48" i="58"/>
  <c r="E50" i="58"/>
  <c r="S50" i="58"/>
  <c r="AJ50" i="58"/>
  <c r="E51" i="58"/>
  <c r="T51" i="58"/>
  <c r="AJ51" i="58"/>
  <c r="E52" i="58"/>
  <c r="T52" i="58"/>
  <c r="AJ52" i="58"/>
  <c r="AU54" i="58"/>
  <c r="AI54" i="58"/>
  <c r="U54" i="58"/>
  <c r="I54" i="58"/>
  <c r="AQ54" i="58"/>
  <c r="AE54" i="58"/>
  <c r="Q54" i="58"/>
  <c r="E54" i="58"/>
  <c r="S54" i="58"/>
  <c r="AJ54" i="58"/>
  <c r="E55" i="58"/>
  <c r="S55" i="58"/>
  <c r="AI55" i="58"/>
  <c r="E56" i="58"/>
  <c r="T56" i="58"/>
  <c r="AJ56" i="58"/>
  <c r="E57" i="58"/>
  <c r="S57" i="58"/>
  <c r="AJ57" i="58"/>
  <c r="F58" i="58"/>
  <c r="T58" i="58"/>
  <c r="AJ58" i="58"/>
  <c r="E59" i="58"/>
  <c r="T59" i="58"/>
  <c r="AK59" i="58"/>
  <c r="F60" i="58"/>
  <c r="T60" i="58"/>
  <c r="AJ60" i="58"/>
  <c r="O62" i="58"/>
  <c r="AE62" i="58"/>
  <c r="AS62" i="58"/>
  <c r="O63" i="58"/>
  <c r="AE63" i="58"/>
  <c r="AT63" i="58"/>
  <c r="O64" i="58"/>
  <c r="AE64" i="58"/>
  <c r="AT64" i="58"/>
  <c r="N66" i="58"/>
  <c r="AD66" i="58"/>
  <c r="AS66" i="58"/>
  <c r="AQ46" i="58"/>
  <c r="AM46" i="58"/>
  <c r="Y46" i="58"/>
  <c r="M46" i="58"/>
  <c r="AF46" i="58"/>
  <c r="AT46" i="58"/>
  <c r="S66" i="58"/>
  <c r="R46" i="58"/>
  <c r="T66" i="58"/>
  <c r="Q41" i="58"/>
  <c r="AQ41" i="58"/>
  <c r="Q43" i="58"/>
  <c r="AF43" i="58"/>
  <c r="F46" i="58"/>
  <c r="S46" i="58"/>
  <c r="AO48" i="58"/>
  <c r="AA48" i="58"/>
  <c r="O48" i="58"/>
  <c r="AK48" i="58"/>
  <c r="W48" i="58"/>
  <c r="K48" i="58"/>
  <c r="R48" i="58"/>
  <c r="AH48" i="58"/>
  <c r="I41" i="58"/>
  <c r="AI41" i="58"/>
  <c r="W46" i="58"/>
  <c r="W47" i="58"/>
  <c r="H48" i="58"/>
  <c r="AM48" i="58"/>
  <c r="L41" i="58"/>
  <c r="X41" i="58"/>
  <c r="L43" i="58"/>
  <c r="Y43" i="58"/>
  <c r="AN43" i="58"/>
  <c r="AT45" i="58"/>
  <c r="AH45" i="58"/>
  <c r="T45" i="58"/>
  <c r="H45" i="58"/>
  <c r="Q45" i="58"/>
  <c r="AF45" i="58"/>
  <c r="AS45" i="58"/>
  <c r="N46" i="58"/>
  <c r="AA46" i="58"/>
  <c r="AP46" i="58"/>
  <c r="L47" i="58"/>
  <c r="Z47" i="58"/>
  <c r="AP47" i="58"/>
  <c r="L48" i="58"/>
  <c r="Z48" i="58"/>
  <c r="AQ48" i="58"/>
  <c r="F50" i="58"/>
  <c r="T50" i="58"/>
  <c r="AK50" i="58"/>
  <c r="G51" i="58"/>
  <c r="U51" i="58"/>
  <c r="AK51" i="58"/>
  <c r="F52" i="58"/>
  <c r="U52" i="58"/>
  <c r="AL52" i="58"/>
  <c r="F55" i="58"/>
  <c r="T55" i="58"/>
  <c r="AK55" i="58"/>
  <c r="F56" i="58"/>
  <c r="U56" i="58"/>
  <c r="AK56" i="58"/>
  <c r="F57" i="58"/>
  <c r="U57" i="58"/>
  <c r="AK57" i="58"/>
  <c r="G58" i="58"/>
  <c r="U58" i="58"/>
  <c r="AK58" i="58"/>
  <c r="G59" i="58"/>
  <c r="U59" i="58"/>
  <c r="AL59" i="58"/>
  <c r="G60" i="58"/>
  <c r="U60" i="58"/>
  <c r="AL60" i="58"/>
  <c r="P62" i="58"/>
  <c r="AF62" i="58"/>
  <c r="AT62" i="58"/>
  <c r="P63" i="58"/>
  <c r="AG63" i="58"/>
  <c r="AU63" i="58"/>
  <c r="P64" i="58"/>
  <c r="AF64" i="58"/>
  <c r="AU64" i="58"/>
  <c r="O66" i="58"/>
  <c r="AF66" i="58"/>
  <c r="AT66" i="58"/>
  <c r="P49" i="58"/>
  <c r="AD49" i="58"/>
  <c r="L53" i="58"/>
  <c r="X53" i="58"/>
  <c r="AL53" i="58"/>
  <c r="P61" i="58"/>
  <c r="AD61" i="58"/>
  <c r="L65" i="58"/>
  <c r="X65" i="58"/>
  <c r="AL65" i="58"/>
  <c r="P53" i="58"/>
  <c r="AD53" i="58"/>
  <c r="P65" i="58"/>
  <c r="AD65" i="58"/>
  <c r="AP58" i="56"/>
  <c r="AN58" i="56"/>
  <c r="W58" i="56"/>
  <c r="H58" i="56"/>
  <c r="AM58" i="56"/>
  <c r="V58" i="56"/>
  <c r="G58" i="56"/>
  <c r="AL58" i="56"/>
  <c r="U58" i="56"/>
  <c r="F58" i="56"/>
  <c r="AI58" i="56"/>
  <c r="R58" i="56"/>
  <c r="S66" i="1"/>
  <c r="AU42" i="1"/>
  <c r="AF50" i="56"/>
  <c r="AO63" i="56"/>
  <c r="W63" i="56"/>
  <c r="AK58" i="1"/>
  <c r="K42" i="1"/>
  <c r="M46" i="1"/>
  <c r="O54" i="1"/>
  <c r="L42" i="1"/>
  <c r="AP42" i="1"/>
  <c r="AO43" i="1"/>
  <c r="AE43" i="1"/>
  <c r="O42" i="56"/>
  <c r="J50" i="56"/>
  <c r="AR50" i="56"/>
  <c r="S56" i="56"/>
  <c r="Y58" i="56"/>
  <c r="AA59" i="56"/>
  <c r="AK59" i="56"/>
  <c r="AM63" i="56"/>
  <c r="AK53" i="53"/>
  <c r="V53" i="53"/>
  <c r="U53" i="53"/>
  <c r="R53" i="53"/>
  <c r="AR58" i="53"/>
  <c r="Z58" i="53"/>
  <c r="Y58" i="53"/>
  <c r="W58" i="53"/>
  <c r="X64" i="53"/>
  <c r="AG64" i="53"/>
  <c r="Y41" i="52"/>
  <c r="AS49" i="52"/>
  <c r="AU49" i="52"/>
  <c r="AJ49" i="52"/>
  <c r="Q49" i="52"/>
  <c r="AI49" i="52"/>
  <c r="O49" i="52"/>
  <c r="AG49" i="52"/>
  <c r="M49" i="52"/>
  <c r="AT49" i="52"/>
  <c r="Z49" i="52"/>
  <c r="I49" i="52"/>
  <c r="Y49" i="52"/>
  <c r="L50" i="52"/>
  <c r="AR50" i="52"/>
  <c r="AL54" i="52"/>
  <c r="AP60" i="52"/>
  <c r="AD47" i="51"/>
  <c r="AP62" i="51"/>
  <c r="J62" i="51"/>
  <c r="AE62" i="51"/>
  <c r="AF62" i="51"/>
  <c r="W62" i="51"/>
  <c r="T62" i="51"/>
  <c r="P62" i="51"/>
  <c r="O62" i="51"/>
  <c r="AT62" i="51"/>
  <c r="K62" i="51"/>
  <c r="AI62" i="48"/>
  <c r="Q65" i="46"/>
  <c r="S65" i="46"/>
  <c r="P65" i="46"/>
  <c r="AS65" i="46"/>
  <c r="AD65" i="46"/>
  <c r="X65" i="46"/>
  <c r="M65" i="46"/>
  <c r="AU65" i="46"/>
  <c r="AT65" i="46"/>
  <c r="AQ65" i="46"/>
  <c r="Y65" i="46"/>
  <c r="AP61" i="49"/>
  <c r="Q61" i="49"/>
  <c r="AQ61" i="49"/>
  <c r="U61" i="49"/>
  <c r="S61" i="49"/>
  <c r="AD59" i="46"/>
  <c r="AE66" i="46"/>
  <c r="X66" i="46"/>
  <c r="V66" i="46"/>
  <c r="AK46" i="43"/>
  <c r="AA46" i="43"/>
  <c r="R46" i="43"/>
  <c r="Z46" i="43"/>
  <c r="G46" i="43"/>
  <c r="AU46" i="43"/>
  <c r="AT46" i="43"/>
  <c r="U46" i="43"/>
  <c r="J46" i="43"/>
  <c r="U56" i="40"/>
  <c r="S56" i="40"/>
  <c r="Y56" i="40"/>
  <c r="V56" i="40"/>
  <c r="J56" i="40"/>
  <c r="AN56" i="40"/>
  <c r="AH56" i="40"/>
  <c r="K56" i="40"/>
  <c r="I56" i="40"/>
  <c r="AU56" i="40"/>
  <c r="AM56" i="40"/>
  <c r="AK56" i="40"/>
  <c r="F56" i="40"/>
  <c r="L56" i="40"/>
  <c r="AS49" i="38"/>
  <c r="V49" i="38"/>
  <c r="AR49" i="38"/>
  <c r="T49" i="38"/>
  <c r="AP49" i="38"/>
  <c r="N49" i="38"/>
  <c r="AO49" i="38"/>
  <c r="M49" i="38"/>
  <c r="AN49" i="38"/>
  <c r="L49" i="38"/>
  <c r="AM49" i="38"/>
  <c r="K49" i="38"/>
  <c r="AI49" i="38"/>
  <c r="AF49" i="38"/>
  <c r="G49" i="38"/>
  <c r="AA49" i="38"/>
  <c r="Z49" i="38"/>
  <c r="X49" i="38"/>
  <c r="W49" i="38"/>
  <c r="I49" i="38"/>
  <c r="H44" i="52"/>
  <c r="G54" i="52"/>
  <c r="AP54" i="52"/>
  <c r="H63" i="52"/>
  <c r="U48" i="56"/>
  <c r="W50" i="56"/>
  <c r="AJ51" i="56"/>
  <c r="Z51" i="56"/>
  <c r="X51" i="56"/>
  <c r="W51" i="56"/>
  <c r="J58" i="56"/>
  <c r="AH58" i="56"/>
  <c r="AE65" i="56"/>
  <c r="AR41" i="53"/>
  <c r="Q49" i="53"/>
  <c r="I60" i="53"/>
  <c r="AR65" i="53"/>
  <c r="Z65" i="53"/>
  <c r="Y65" i="53"/>
  <c r="W65" i="53"/>
  <c r="K44" i="52"/>
  <c r="AP47" i="52"/>
  <c r="N47" i="52"/>
  <c r="AM47" i="52"/>
  <c r="M47" i="52"/>
  <c r="AL47" i="52"/>
  <c r="L47" i="52"/>
  <c r="AH47" i="52"/>
  <c r="I47" i="52"/>
  <c r="AI48" i="52"/>
  <c r="AH48" i="52"/>
  <c r="AG48" i="52"/>
  <c r="Y48" i="52"/>
  <c r="T48" i="52"/>
  <c r="S50" i="52"/>
  <c r="Q61" i="52"/>
  <c r="Y60" i="51"/>
  <c r="R60" i="51"/>
  <c r="E60" i="51"/>
  <c r="AR60" i="51"/>
  <c r="AP60" i="51"/>
  <c r="AL60" i="51"/>
  <c r="AD60" i="51"/>
  <c r="U60" i="51"/>
  <c r="Y51" i="52"/>
  <c r="J51" i="52"/>
  <c r="I51" i="52"/>
  <c r="AL51" i="52"/>
  <c r="H51" i="52"/>
  <c r="AI51" i="52"/>
  <c r="AO54" i="52"/>
  <c r="AJ54" i="52"/>
  <c r="I54" i="52"/>
  <c r="Z54" i="52"/>
  <c r="Y54" i="52"/>
  <c r="W54" i="52"/>
  <c r="M54" i="52"/>
  <c r="AN54" i="52"/>
  <c r="AP63" i="52"/>
  <c r="U63" i="52"/>
  <c r="AN54" i="1"/>
  <c r="E58" i="56"/>
  <c r="AD46" i="52"/>
  <c r="AU41" i="49"/>
  <c r="T41" i="49"/>
  <c r="AP41" i="49"/>
  <c r="L41" i="49"/>
  <c r="AE41" i="49"/>
  <c r="U41" i="49"/>
  <c r="R41" i="49"/>
  <c r="Q41" i="49"/>
  <c r="AT41" i="49"/>
  <c r="P41" i="49"/>
  <c r="AQ41" i="49"/>
  <c r="G41" i="49"/>
  <c r="AH41" i="48"/>
  <c r="AG41" i="48"/>
  <c r="L41" i="48"/>
  <c r="AO63" i="48"/>
  <c r="S63" i="48"/>
  <c r="AH63" i="48"/>
  <c r="K63" i="48"/>
  <c r="T63" i="48"/>
  <c r="AK63" i="48"/>
  <c r="L63" i="48"/>
  <c r="R63" i="48"/>
  <c r="AT63" i="48"/>
  <c r="N63" i="48"/>
  <c r="AR63" i="48"/>
  <c r="H63" i="48"/>
  <c r="AL63" i="48"/>
  <c r="G63" i="48"/>
  <c r="AJ63" i="48"/>
  <c r="F63" i="48"/>
  <c r="AG63" i="48"/>
  <c r="AF63" i="48"/>
  <c r="AQ49" i="46"/>
  <c r="AJ49" i="46"/>
  <c r="AA49" i="46"/>
  <c r="H60" i="53"/>
  <c r="J44" i="52"/>
  <c r="I63" i="52"/>
  <c r="E41" i="49"/>
  <c r="AU41" i="48"/>
  <c r="O63" i="48"/>
  <c r="H54" i="1"/>
  <c r="K63" i="1"/>
  <c r="T54" i="1"/>
  <c r="AM58" i="1"/>
  <c r="Y50" i="56"/>
  <c r="T51" i="56"/>
  <c r="K58" i="56"/>
  <c r="AJ58" i="56"/>
  <c r="T45" i="53"/>
  <c r="R49" i="53"/>
  <c r="Q60" i="53"/>
  <c r="U65" i="53"/>
  <c r="J47" i="52"/>
  <c r="E48" i="52"/>
  <c r="Y50" i="52"/>
  <c r="P51" i="52"/>
  <c r="K54" i="52"/>
  <c r="R61" i="52"/>
  <c r="V63" i="52"/>
  <c r="F60" i="51"/>
  <c r="V41" i="49"/>
  <c r="AT53" i="49"/>
  <c r="AK53" i="49"/>
  <c r="AF53" i="49"/>
  <c r="S64" i="49"/>
  <c r="P64" i="49"/>
  <c r="G64" i="49"/>
  <c r="H64" i="49"/>
  <c r="AQ64" i="49"/>
  <c r="AJ64" i="49"/>
  <c r="AG64" i="49"/>
  <c r="AF64" i="49"/>
  <c r="Z52" i="48"/>
  <c r="T52" i="48"/>
  <c r="L52" i="48"/>
  <c r="AL52" i="48"/>
  <c r="Q52" i="48"/>
  <c r="AN52" i="48"/>
  <c r="AH52" i="48"/>
  <c r="S52" i="48"/>
  <c r="R52" i="48"/>
  <c r="P52" i="48"/>
  <c r="W63" i="48"/>
  <c r="AR51" i="46"/>
  <c r="P51" i="46"/>
  <c r="AP51" i="46"/>
  <c r="AA58" i="56"/>
  <c r="AJ44" i="52"/>
  <c r="V44" i="52"/>
  <c r="AL41" i="53"/>
  <c r="X41" i="53"/>
  <c r="AK48" i="56"/>
  <c r="AQ48" i="56"/>
  <c r="AP48" i="56"/>
  <c r="W48" i="56"/>
  <c r="S48" i="56"/>
  <c r="I58" i="56"/>
  <c r="AG58" i="56"/>
  <c r="W41" i="53"/>
  <c r="L49" i="53"/>
  <c r="H54" i="52"/>
  <c r="AM54" i="1"/>
  <c r="AJ58" i="1"/>
  <c r="AI58" i="1"/>
  <c r="G46" i="1"/>
  <c r="V46" i="1"/>
  <c r="X54" i="1"/>
  <c r="AK54" i="1"/>
  <c r="R54" i="1"/>
  <c r="H48" i="1"/>
  <c r="AJ42" i="56"/>
  <c r="AR48" i="56"/>
  <c r="Z50" i="56"/>
  <c r="AA51" i="56"/>
  <c r="L58" i="56"/>
  <c r="AK58" i="56"/>
  <c r="AG66" i="56"/>
  <c r="X66" i="56"/>
  <c r="S66" i="56"/>
  <c r="P66" i="56"/>
  <c r="G66" i="56"/>
  <c r="U45" i="53"/>
  <c r="AF49" i="53"/>
  <c r="AN53" i="53"/>
  <c r="U60" i="53"/>
  <c r="AU65" i="53"/>
  <c r="S44" i="52"/>
  <c r="K47" i="52"/>
  <c r="F48" i="52"/>
  <c r="L49" i="52"/>
  <c r="AO49" i="52"/>
  <c r="Z50" i="52"/>
  <c r="U51" i="52"/>
  <c r="L54" i="52"/>
  <c r="U61" i="52"/>
  <c r="X63" i="52"/>
  <c r="I45" i="51"/>
  <c r="AL45" i="51"/>
  <c r="AI45" i="51"/>
  <c r="S45" i="51"/>
  <c r="G45" i="51"/>
  <c r="F45" i="51"/>
  <c r="I60" i="51"/>
  <c r="AO62" i="51"/>
  <c r="AG41" i="49"/>
  <c r="Y53" i="49"/>
  <c r="I64" i="49"/>
  <c r="AM52" i="48"/>
  <c r="Y63" i="48"/>
  <c r="Q52" i="46"/>
  <c r="AR52" i="46"/>
  <c r="AP52" i="46"/>
  <c r="AQ52" i="46"/>
  <c r="AO52" i="46"/>
  <c r="AN52" i="46"/>
  <c r="AL52" i="46"/>
  <c r="N52" i="46"/>
  <c r="R61" i="39"/>
  <c r="I61" i="39"/>
  <c r="AO61" i="39"/>
  <c r="AN61" i="39"/>
  <c r="AJ61" i="39"/>
  <c r="AI61" i="39"/>
  <c r="X61" i="39"/>
  <c r="W61" i="39"/>
  <c r="V61" i="39"/>
  <c r="U61" i="39"/>
  <c r="J61" i="39"/>
  <c r="AE58" i="56"/>
  <c r="K51" i="52"/>
  <c r="J61" i="52"/>
  <c r="K58" i="1"/>
  <c r="AG46" i="1"/>
  <c r="R42" i="1"/>
  <c r="F54" i="1"/>
  <c r="AK42" i="56"/>
  <c r="AA50" i="56"/>
  <c r="AS56" i="56"/>
  <c r="AP56" i="56"/>
  <c r="O56" i="56"/>
  <c r="AJ56" i="56"/>
  <c r="N56" i="56"/>
  <c r="AI56" i="56"/>
  <c r="K56" i="56"/>
  <c r="AE56" i="56"/>
  <c r="H56" i="56"/>
  <c r="AQ56" i="56"/>
  <c r="N58" i="56"/>
  <c r="AQ58" i="56"/>
  <c r="V45" i="53"/>
  <c r="X60" i="53"/>
  <c r="AN44" i="52"/>
  <c r="O47" i="52"/>
  <c r="I48" i="52"/>
  <c r="AH50" i="52"/>
  <c r="AE51" i="52"/>
  <c r="N54" i="52"/>
  <c r="Z61" i="52"/>
  <c r="J60" i="51"/>
  <c r="AI41" i="49"/>
  <c r="AH47" i="49"/>
  <c r="AK47" i="49"/>
  <c r="S47" i="49"/>
  <c r="O64" i="49"/>
  <c r="AI63" i="48"/>
  <c r="AQ49" i="47"/>
  <c r="AI49" i="47"/>
  <c r="AE49" i="47"/>
  <c r="U49" i="47"/>
  <c r="M49" i="47"/>
  <c r="AJ49" i="47"/>
  <c r="T49" i="47"/>
  <c r="P49" i="47"/>
  <c r="N49" i="47"/>
  <c r="L49" i="47"/>
  <c r="AN49" i="47"/>
  <c r="AK49" i="47"/>
  <c r="Z49" i="47"/>
  <c r="O49" i="47"/>
  <c r="H49" i="47"/>
  <c r="AO49" i="47"/>
  <c r="H42" i="1"/>
  <c r="M58" i="1"/>
  <c r="P46" i="1"/>
  <c r="AT58" i="1"/>
  <c r="S46" i="1"/>
  <c r="AD42" i="1"/>
  <c r="W54" i="1"/>
  <c r="L54" i="1"/>
  <c r="AR54" i="1"/>
  <c r="AS51" i="1"/>
  <c r="N54" i="1"/>
  <c r="AE50" i="56"/>
  <c r="G56" i="56"/>
  <c r="AT56" i="56"/>
  <c r="O58" i="56"/>
  <c r="AR58" i="56"/>
  <c r="J66" i="56"/>
  <c r="AI44" i="53"/>
  <c r="AH44" i="53"/>
  <c r="Z44" i="53"/>
  <c r="V44" i="53"/>
  <c r="Y45" i="53"/>
  <c r="AP44" i="52"/>
  <c r="S47" i="52"/>
  <c r="L48" i="52"/>
  <c r="T49" i="52"/>
  <c r="AR49" i="52"/>
  <c r="AG51" i="52"/>
  <c r="V54" i="52"/>
  <c r="T60" i="51"/>
  <c r="AR62" i="51"/>
  <c r="AK41" i="49"/>
  <c r="R47" i="49"/>
  <c r="R64" i="49"/>
  <c r="AM52" i="46"/>
  <c r="AL49" i="47"/>
  <c r="S47" i="46"/>
  <c r="T47" i="46"/>
  <c r="AQ47" i="46"/>
  <c r="AR47" i="46"/>
  <c r="AI50" i="47"/>
  <c r="S50" i="47"/>
  <c r="AJ50" i="47"/>
  <c r="C50" i="47"/>
  <c r="AR50" i="47"/>
  <c r="AM50" i="47"/>
  <c r="Q50" i="47"/>
  <c r="P50" i="47"/>
  <c r="AR61" i="52"/>
  <c r="AN61" i="52"/>
  <c r="N61" i="52"/>
  <c r="AG61" i="52"/>
  <c r="F61" i="52"/>
  <c r="O61" i="52"/>
  <c r="AT61" i="52"/>
  <c r="M61" i="52"/>
  <c r="AQ61" i="52"/>
  <c r="L61" i="52"/>
  <c r="AH61" i="52"/>
  <c r="AA46" i="1"/>
  <c r="AK46" i="56"/>
  <c r="E50" i="56"/>
  <c r="T58" i="56"/>
  <c r="V63" i="56"/>
  <c r="X48" i="52"/>
  <c r="AA60" i="52"/>
  <c r="AS60" i="51"/>
  <c r="AR41" i="49"/>
  <c r="AQ62" i="48"/>
  <c r="T62" i="48"/>
  <c r="AN62" i="48"/>
  <c r="E62" i="48"/>
  <c r="H62" i="48"/>
  <c r="AR62" i="48"/>
  <c r="R50" i="47"/>
  <c r="AN49" i="53"/>
  <c r="AK49" i="53"/>
  <c r="U49" i="53"/>
  <c r="V60" i="53"/>
  <c r="AU60" i="53"/>
  <c r="W60" i="53"/>
  <c r="E51" i="52"/>
  <c r="U54" i="1"/>
  <c r="AR46" i="52"/>
  <c r="AO50" i="56"/>
  <c r="AN50" i="56"/>
  <c r="O50" i="56"/>
  <c r="AI50" i="56"/>
  <c r="N50" i="56"/>
  <c r="AG50" i="56"/>
  <c r="M50" i="56"/>
  <c r="AD50" i="56"/>
  <c r="G50" i="56"/>
  <c r="S58" i="56"/>
  <c r="AT58" i="56"/>
  <c r="AQ50" i="52"/>
  <c r="T50" i="52"/>
  <c r="AG50" i="52"/>
  <c r="J50" i="52"/>
  <c r="AD50" i="52"/>
  <c r="H50" i="52"/>
  <c r="AA50" i="52"/>
  <c r="F50" i="52"/>
  <c r="AT50" i="52"/>
  <c r="X50" i="52"/>
  <c r="AM50" i="52"/>
  <c r="AJ51" i="52"/>
  <c r="AA54" i="52"/>
  <c r="AF61" i="52"/>
  <c r="AJ47" i="51"/>
  <c r="S47" i="51"/>
  <c r="AS47" i="51"/>
  <c r="AM47" i="51"/>
  <c r="W47" i="51"/>
  <c r="AL41" i="49"/>
  <c r="X58" i="1"/>
  <c r="T51" i="1"/>
  <c r="AI51" i="1"/>
  <c r="AI46" i="1"/>
  <c r="N66" i="1"/>
  <c r="F42" i="1"/>
  <c r="E46" i="1"/>
  <c r="R42" i="56"/>
  <c r="AU42" i="56"/>
  <c r="Q42" i="56"/>
  <c r="AL42" i="56"/>
  <c r="G42" i="56"/>
  <c r="AU58" i="56"/>
  <c r="H55" i="53"/>
  <c r="U55" i="53"/>
  <c r="X47" i="52"/>
  <c r="E50" i="52"/>
  <c r="AN50" i="52"/>
  <c r="AK51" i="52"/>
  <c r="AI54" i="52"/>
  <c r="AK61" i="52"/>
  <c r="AQ54" i="1"/>
  <c r="Y45" i="1"/>
  <c r="AA51" i="1"/>
  <c r="O57" i="1"/>
  <c r="Y57" i="1"/>
  <c r="AT66" i="1"/>
  <c r="AA49" i="1"/>
  <c r="Z60" i="1"/>
  <c r="AH60" i="1"/>
  <c r="L48" i="1"/>
  <c r="AJ61" i="1"/>
  <c r="AS41" i="1"/>
  <c r="AF55" i="1"/>
  <c r="U42" i="1"/>
  <c r="G43" i="1"/>
  <c r="L45" i="1"/>
  <c r="M54" i="1"/>
  <c r="AE58" i="1"/>
  <c r="AQ55" i="1"/>
  <c r="M57" i="1"/>
  <c r="T42" i="1"/>
  <c r="L42" i="56"/>
  <c r="U46" i="56"/>
  <c r="F50" i="56"/>
  <c r="AQ50" i="56"/>
  <c r="Z54" i="56"/>
  <c r="W54" i="56"/>
  <c r="P56" i="56"/>
  <c r="X58" i="56"/>
  <c r="AL63" i="56"/>
  <c r="AK66" i="56"/>
  <c r="AU55" i="53"/>
  <c r="M41" i="52"/>
  <c r="Z47" i="52"/>
  <c r="W49" i="52"/>
  <c r="K50" i="52"/>
  <c r="AO50" i="52"/>
  <c r="AK54" i="52"/>
  <c r="AE60" i="52"/>
  <c r="AL61" i="52"/>
  <c r="T47" i="51"/>
  <c r="W61" i="51"/>
  <c r="AM61" i="51"/>
  <c r="Q55" i="49"/>
  <c r="AO55" i="49"/>
  <c r="AP55" i="49"/>
  <c r="AL66" i="49"/>
  <c r="AH62" i="48"/>
  <c r="AJ57" i="47"/>
  <c r="N57" i="47"/>
  <c r="AI57" i="47"/>
  <c r="M57" i="47"/>
  <c r="AO57" i="47"/>
  <c r="J57" i="47"/>
  <c r="AA57" i="47"/>
  <c r="AF57" i="47"/>
  <c r="Z57" i="47"/>
  <c r="U57" i="47"/>
  <c r="Q57" i="47"/>
  <c r="P57" i="47"/>
  <c r="AG57" i="47"/>
  <c r="S57" i="47"/>
  <c r="O57" i="47"/>
  <c r="G57" i="47"/>
  <c r="F57" i="47"/>
  <c r="C57" i="47"/>
  <c r="AT57" i="47"/>
  <c r="AN57" i="47"/>
  <c r="AL46" i="40"/>
  <c r="V46" i="40"/>
  <c r="H46" i="40"/>
  <c r="AL55" i="39"/>
  <c r="AH55" i="39"/>
  <c r="F55" i="39"/>
  <c r="AE55" i="39"/>
  <c r="Z55" i="39"/>
  <c r="T55" i="39"/>
  <c r="AI55" i="39"/>
  <c r="AG55" i="39"/>
  <c r="P55" i="39"/>
  <c r="O55" i="39"/>
  <c r="AP55" i="39"/>
  <c r="N55" i="39"/>
  <c r="K55" i="39"/>
  <c r="H55" i="39"/>
  <c r="G55" i="39"/>
  <c r="AU55" i="39"/>
  <c r="AJ55" i="39"/>
  <c r="W66" i="48"/>
  <c r="AD66" i="48"/>
  <c r="P53" i="46"/>
  <c r="AI51" i="47"/>
  <c r="AH51" i="47"/>
  <c r="AG51" i="47"/>
  <c r="S51" i="47"/>
  <c r="L51" i="47"/>
  <c r="Z46" i="53"/>
  <c r="AH42" i="52"/>
  <c r="N66" i="52"/>
  <c r="AO66" i="52"/>
  <c r="K43" i="51"/>
  <c r="AU49" i="51"/>
  <c r="O58" i="51"/>
  <c r="AL58" i="51"/>
  <c r="AM59" i="49"/>
  <c r="P59" i="49"/>
  <c r="G59" i="49"/>
  <c r="S45" i="48"/>
  <c r="AO45" i="48"/>
  <c r="V56" i="48"/>
  <c r="G56" i="48"/>
  <c r="T58" i="48"/>
  <c r="Q66" i="48"/>
  <c r="Z42" i="46"/>
  <c r="R53" i="46"/>
  <c r="Y41" i="39"/>
  <c r="AP41" i="39"/>
  <c r="AD41" i="39"/>
  <c r="S41" i="39"/>
  <c r="R41" i="39"/>
  <c r="N41" i="39"/>
  <c r="M41" i="39"/>
  <c r="Z47" i="39"/>
  <c r="AL47" i="39"/>
  <c r="L47" i="39"/>
  <c r="AE47" i="39"/>
  <c r="J47" i="39"/>
  <c r="AA47" i="39"/>
  <c r="X47" i="39"/>
  <c r="AM47" i="39"/>
  <c r="AK47" i="39"/>
  <c r="W47" i="39"/>
  <c r="V47" i="39"/>
  <c r="AO47" i="39"/>
  <c r="AN47" i="39"/>
  <c r="AD47" i="39"/>
  <c r="P47" i="39"/>
  <c r="AQ47" i="39"/>
  <c r="AP47" i="39"/>
  <c r="O47" i="39"/>
  <c r="S66" i="52"/>
  <c r="AS66" i="52"/>
  <c r="AH46" i="49"/>
  <c r="Z46" i="49"/>
  <c r="AU42" i="52"/>
  <c r="V66" i="52"/>
  <c r="AT66" i="52"/>
  <c r="X43" i="51"/>
  <c r="Q52" i="51"/>
  <c r="U58" i="51"/>
  <c r="AT58" i="51"/>
  <c r="F64" i="51"/>
  <c r="AD42" i="49"/>
  <c r="P42" i="49"/>
  <c r="AK42" i="49"/>
  <c r="J46" i="49"/>
  <c r="G46" i="48"/>
  <c r="AI46" i="48"/>
  <c r="AQ51" i="48"/>
  <c r="AN51" i="48"/>
  <c r="V51" i="48"/>
  <c r="F51" i="48"/>
  <c r="AH51" i="48"/>
  <c r="N51" i="48"/>
  <c r="AM51" i="48"/>
  <c r="R51" i="48"/>
  <c r="AG51" i="48"/>
  <c r="J51" i="48"/>
  <c r="Z51" i="48"/>
  <c r="AA61" i="48"/>
  <c r="AU41" i="46"/>
  <c r="T41" i="46"/>
  <c r="AK41" i="46"/>
  <c r="H41" i="46"/>
  <c r="AL41" i="46"/>
  <c r="F41" i="46"/>
  <c r="Y41" i="46"/>
  <c r="AN41" i="46"/>
  <c r="AQ42" i="46"/>
  <c r="AS51" i="43"/>
  <c r="AJ51" i="43"/>
  <c r="F51" i="43"/>
  <c r="AO51" i="43"/>
  <c r="AH51" i="43"/>
  <c r="R51" i="43"/>
  <c r="AM55" i="40"/>
  <c r="M55" i="40"/>
  <c r="AL55" i="40"/>
  <c r="L55" i="40"/>
  <c r="AI55" i="40"/>
  <c r="G55" i="40"/>
  <c r="AH55" i="40"/>
  <c r="E55" i="40"/>
  <c r="Y55" i="40"/>
  <c r="AN55" i="40"/>
  <c r="X55" i="40"/>
  <c r="S55" i="40"/>
  <c r="R55" i="40"/>
  <c r="AO55" i="40"/>
  <c r="AD55" i="40"/>
  <c r="AA55" i="40"/>
  <c r="U55" i="40"/>
  <c r="N55" i="40"/>
  <c r="K55" i="40"/>
  <c r="I55" i="40"/>
  <c r="K46" i="53"/>
  <c r="AI46" i="53"/>
  <c r="AJ48" i="53"/>
  <c r="F42" i="52"/>
  <c r="AM55" i="52"/>
  <c r="W66" i="52"/>
  <c r="Y43" i="51"/>
  <c r="AG57" i="51"/>
  <c r="R64" i="51"/>
  <c r="J42" i="49"/>
  <c r="AL42" i="49"/>
  <c r="R46" i="49"/>
  <c r="AS58" i="49"/>
  <c r="S58" i="49"/>
  <c r="Z59" i="49"/>
  <c r="V63" i="49"/>
  <c r="AK63" i="49"/>
  <c r="E63" i="49"/>
  <c r="AA63" i="49"/>
  <c r="P63" i="49"/>
  <c r="AP63" i="49"/>
  <c r="AS65" i="49"/>
  <c r="O65" i="49"/>
  <c r="K65" i="49"/>
  <c r="AK65" i="49"/>
  <c r="G65" i="49"/>
  <c r="AN65" i="49"/>
  <c r="X46" i="48"/>
  <c r="G51" i="48"/>
  <c r="AF51" i="48"/>
  <c r="X57" i="48"/>
  <c r="AD61" i="48"/>
  <c r="E41" i="46"/>
  <c r="AO41" i="46"/>
  <c r="AQ63" i="46"/>
  <c r="AG63" i="46"/>
  <c r="M63" i="46"/>
  <c r="AF63" i="46"/>
  <c r="L63" i="46"/>
  <c r="AN63" i="46"/>
  <c r="R63" i="46"/>
  <c r="AA63" i="46"/>
  <c r="I63" i="46"/>
  <c r="AU63" i="46"/>
  <c r="W63" i="46"/>
  <c r="AS63" i="46"/>
  <c r="T63" i="46"/>
  <c r="AM63" i="46"/>
  <c r="K63" i="46"/>
  <c r="AK63" i="46"/>
  <c r="J63" i="46"/>
  <c r="AR63" i="46"/>
  <c r="AO51" i="47"/>
  <c r="V63" i="47"/>
  <c r="C63" i="47"/>
  <c r="AM45" i="43"/>
  <c r="AN45" i="43"/>
  <c r="AE45" i="43"/>
  <c r="V45" i="43"/>
  <c r="AP45" i="43"/>
  <c r="N45" i="43"/>
  <c r="AR45" i="43"/>
  <c r="AQ45" i="43"/>
  <c r="X45" i="43"/>
  <c r="W45" i="43"/>
  <c r="AI51" i="43"/>
  <c r="AQ55" i="40"/>
  <c r="AS53" i="51"/>
  <c r="AG53" i="51"/>
  <c r="AU58" i="51"/>
  <c r="AA58" i="51"/>
  <c r="H58" i="51"/>
  <c r="AO58" i="51"/>
  <c r="T58" i="51"/>
  <c r="X58" i="51"/>
  <c r="U64" i="51"/>
  <c r="K42" i="49"/>
  <c r="AP42" i="49"/>
  <c r="Y46" i="49"/>
  <c r="AE46" i="48"/>
  <c r="R48" i="48"/>
  <c r="AL48" i="48"/>
  <c r="AK48" i="48"/>
  <c r="AG48" i="48"/>
  <c r="H51" i="48"/>
  <c r="AJ51" i="48"/>
  <c r="AP58" i="48"/>
  <c r="AJ58" i="48"/>
  <c r="L58" i="48"/>
  <c r="AT58" i="48"/>
  <c r="X58" i="48"/>
  <c r="G58" i="48"/>
  <c r="AU58" i="48"/>
  <c r="V58" i="48"/>
  <c r="AM58" i="48"/>
  <c r="N58" i="48"/>
  <c r="AF58" i="48"/>
  <c r="AE61" i="48"/>
  <c r="G41" i="46"/>
  <c r="AR41" i="46"/>
  <c r="AD53" i="46"/>
  <c r="J53" i="46"/>
  <c r="Z53" i="46"/>
  <c r="AH53" i="46"/>
  <c r="K53" i="46"/>
  <c r="AU53" i="46"/>
  <c r="W53" i="46"/>
  <c r="AJ53" i="46"/>
  <c r="G53" i="46"/>
  <c r="X53" i="46"/>
  <c r="AK53" i="46"/>
  <c r="AM45" i="47"/>
  <c r="X45" i="47"/>
  <c r="V45" i="47"/>
  <c r="AE45" i="47"/>
  <c r="AR45" i="47"/>
  <c r="AP45" i="47"/>
  <c r="AL45" i="47"/>
  <c r="P45" i="47"/>
  <c r="O45" i="47"/>
  <c r="AR55" i="40"/>
  <c r="AI66" i="52"/>
  <c r="AH66" i="52"/>
  <c r="K66" i="52"/>
  <c r="Y66" i="52"/>
  <c r="G66" i="52"/>
  <c r="AA66" i="52"/>
  <c r="U43" i="51"/>
  <c r="AA43" i="51"/>
  <c r="R43" i="51"/>
  <c r="AL43" i="51"/>
  <c r="AO64" i="51"/>
  <c r="AJ46" i="49"/>
  <c r="AA42" i="46"/>
  <c r="AF42" i="46"/>
  <c r="Q42" i="46"/>
  <c r="AD42" i="46"/>
  <c r="N42" i="46"/>
  <c r="V41" i="38"/>
  <c r="T41" i="38"/>
  <c r="AS41" i="38"/>
  <c r="S41" i="38"/>
  <c r="AQ41" i="38"/>
  <c r="Q41" i="38"/>
  <c r="AO41" i="38"/>
  <c r="O41" i="38"/>
  <c r="AN41" i="38"/>
  <c r="M41" i="38"/>
  <c r="Y41" i="38"/>
  <c r="X41" i="38"/>
  <c r="H41" i="38"/>
  <c r="G41" i="38"/>
  <c r="J41" i="38"/>
  <c r="C41" i="38"/>
  <c r="AO52" i="38"/>
  <c r="N52" i="38"/>
  <c r="AR41" i="51"/>
  <c r="AN44" i="49"/>
  <c r="L47" i="48"/>
  <c r="AO47" i="48"/>
  <c r="AJ44" i="46"/>
  <c r="AI58" i="46"/>
  <c r="AG58" i="46"/>
  <c r="I58" i="46"/>
  <c r="AF58" i="46"/>
  <c r="H58" i="46"/>
  <c r="Z58" i="46"/>
  <c r="AT58" i="46"/>
  <c r="O58" i="46"/>
  <c r="AO58" i="46"/>
  <c r="AI61" i="46"/>
  <c r="AH61" i="46"/>
  <c r="AD61" i="46"/>
  <c r="AP61" i="46"/>
  <c r="L61" i="46"/>
  <c r="AE41" i="47"/>
  <c r="C41" i="47"/>
  <c r="W58" i="47"/>
  <c r="AU58" i="47"/>
  <c r="O58" i="47"/>
  <c r="AT58" i="47"/>
  <c r="L58" i="47"/>
  <c r="Y58" i="47"/>
  <c r="J58" i="47"/>
  <c r="AS58" i="47"/>
  <c r="AO55" i="43"/>
  <c r="AN55" i="43"/>
  <c r="X55" i="43"/>
  <c r="W55" i="43"/>
  <c r="R55" i="43"/>
  <c r="AI60" i="43"/>
  <c r="AM66" i="43"/>
  <c r="X66" i="43"/>
  <c r="J66" i="43"/>
  <c r="AI66" i="43"/>
  <c r="Y66" i="43"/>
  <c r="AK43" i="40"/>
  <c r="I43" i="40"/>
  <c r="AN58" i="39"/>
  <c r="AR58" i="39"/>
  <c r="Q58" i="39"/>
  <c r="AM58" i="39"/>
  <c r="N58" i="39"/>
  <c r="AK58" i="39"/>
  <c r="L58" i="39"/>
  <c r="AI58" i="39"/>
  <c r="K58" i="39"/>
  <c r="T58" i="39"/>
  <c r="O58" i="39"/>
  <c r="I58" i="39"/>
  <c r="G58" i="39"/>
  <c r="AL58" i="39"/>
  <c r="AF58" i="39"/>
  <c r="AE58" i="39"/>
  <c r="AA58" i="39"/>
  <c r="E41" i="38"/>
  <c r="K52" i="38"/>
  <c r="W59" i="47"/>
  <c r="C59" i="47"/>
  <c r="AJ60" i="43"/>
  <c r="M58" i="39"/>
  <c r="AJ63" i="39"/>
  <c r="AE41" i="38"/>
  <c r="AU53" i="39"/>
  <c r="AI53" i="39"/>
  <c r="G53" i="39"/>
  <c r="AG53" i="39"/>
  <c r="E53" i="39"/>
  <c r="AE53" i="39"/>
  <c r="AD53" i="39"/>
  <c r="L53" i="39"/>
  <c r="F53" i="39"/>
  <c r="AP53" i="39"/>
  <c r="AN53" i="39"/>
  <c r="AH53" i="39"/>
  <c r="Q53" i="39"/>
  <c r="P53" i="39"/>
  <c r="N53" i="39"/>
  <c r="M53" i="39"/>
  <c r="AS56" i="39"/>
  <c r="AG56" i="39"/>
  <c r="U56" i="39"/>
  <c r="H56" i="39"/>
  <c r="G56" i="39"/>
  <c r="AP56" i="39"/>
  <c r="AI56" i="39"/>
  <c r="AU56" i="39"/>
  <c r="Z62" i="35"/>
  <c r="W62" i="35"/>
  <c r="V62" i="35"/>
  <c r="U62" i="35"/>
  <c r="P62" i="35"/>
  <c r="H62" i="35"/>
  <c r="AR62" i="35"/>
  <c r="AJ62" i="35"/>
  <c r="AE62" i="35"/>
  <c r="Z42" i="40"/>
  <c r="AJ42" i="40"/>
  <c r="V42" i="40"/>
  <c r="T42" i="40"/>
  <c r="M42" i="40"/>
  <c r="J42" i="40"/>
  <c r="AN42" i="40"/>
  <c r="AM42" i="40"/>
  <c r="AR51" i="39"/>
  <c r="T51" i="39"/>
  <c r="AO51" i="39"/>
  <c r="N51" i="39"/>
  <c r="AM51" i="39"/>
  <c r="J51" i="39"/>
  <c r="AL51" i="39"/>
  <c r="H51" i="39"/>
  <c r="AK51" i="39"/>
  <c r="AJ51" i="39"/>
  <c r="Y51" i="39"/>
  <c r="V51" i="39"/>
  <c r="AP51" i="39"/>
  <c r="AN51" i="39"/>
  <c r="Z51" i="39"/>
  <c r="U51" i="39"/>
  <c r="T53" i="39"/>
  <c r="P56" i="39"/>
  <c r="AJ41" i="38"/>
  <c r="AA62" i="35"/>
  <c r="AD57" i="52"/>
  <c r="AK64" i="52"/>
  <c r="N41" i="51"/>
  <c r="AJ51" i="51"/>
  <c r="AM66" i="51"/>
  <c r="S47" i="48"/>
  <c r="X46" i="46"/>
  <c r="AO46" i="46"/>
  <c r="Q46" i="46"/>
  <c r="AK46" i="46"/>
  <c r="AM56" i="46"/>
  <c r="M58" i="46"/>
  <c r="P61" i="46"/>
  <c r="AP42" i="47"/>
  <c r="AA42" i="47"/>
  <c r="R42" i="47"/>
  <c r="AE42" i="47"/>
  <c r="M42" i="47"/>
  <c r="C48" i="47"/>
  <c r="AR48" i="47"/>
  <c r="AQ48" i="47"/>
  <c r="AL48" i="47"/>
  <c r="T58" i="47"/>
  <c r="C61" i="47"/>
  <c r="V61" i="47"/>
  <c r="AH55" i="43"/>
  <c r="X58" i="43"/>
  <c r="O58" i="43"/>
  <c r="K58" i="43"/>
  <c r="N58" i="43"/>
  <c r="AL63" i="43"/>
  <c r="AJ63" i="43"/>
  <c r="K63" i="43"/>
  <c r="AA63" i="43"/>
  <c r="Y63" i="43"/>
  <c r="P63" i="43"/>
  <c r="AG63" i="43"/>
  <c r="L63" i="43"/>
  <c r="H63" i="43"/>
  <c r="E42" i="40"/>
  <c r="AM51" i="40"/>
  <c r="G57" i="40"/>
  <c r="G51" i="39"/>
  <c r="AF53" i="39"/>
  <c r="AE56" i="39"/>
  <c r="AQ58" i="39"/>
  <c r="X64" i="39"/>
  <c r="U64" i="39"/>
  <c r="T64" i="39"/>
  <c r="S64" i="39"/>
  <c r="H64" i="39"/>
  <c r="E64" i="39"/>
  <c r="AO64" i="39"/>
  <c r="AH64" i="39"/>
  <c r="AM41" i="38"/>
  <c r="AE47" i="38"/>
  <c r="AU47" i="38"/>
  <c r="AK47" i="38"/>
  <c r="U47" i="38"/>
  <c r="T47" i="38"/>
  <c r="R47" i="38"/>
  <c r="AN46" i="35"/>
  <c r="R46" i="35"/>
  <c r="AM46" i="35"/>
  <c r="Q46" i="35"/>
  <c r="AI46" i="35"/>
  <c r="O46" i="35"/>
  <c r="AH46" i="35"/>
  <c r="N46" i="35"/>
  <c r="AG46" i="35"/>
  <c r="M46" i="35"/>
  <c r="AF46" i="35"/>
  <c r="L46" i="35"/>
  <c r="AQ46" i="35"/>
  <c r="AE46" i="35"/>
  <c r="AA46" i="35"/>
  <c r="Z46" i="35"/>
  <c r="Y46" i="35"/>
  <c r="E46" i="35"/>
  <c r="AU46" i="35"/>
  <c r="AT46" i="35"/>
  <c r="AS46" i="35"/>
  <c r="AR46" i="35"/>
  <c r="AS60" i="43"/>
  <c r="Q60" i="43"/>
  <c r="U60" i="43"/>
  <c r="S60" i="43"/>
  <c r="AO60" i="43"/>
  <c r="L60" i="43"/>
  <c r="AL60" i="43"/>
  <c r="V60" i="43"/>
  <c r="R60" i="43"/>
  <c r="AA65" i="43"/>
  <c r="O65" i="43"/>
  <c r="K65" i="43"/>
  <c r="AU65" i="43"/>
  <c r="AE65" i="43"/>
  <c r="AR48" i="40"/>
  <c r="E60" i="43"/>
  <c r="P65" i="43"/>
  <c r="AQ48" i="40"/>
  <c r="G46" i="35"/>
  <c r="AH54" i="40"/>
  <c r="Z54" i="40"/>
  <c r="S54" i="40"/>
  <c r="AR54" i="40"/>
  <c r="AN50" i="38"/>
  <c r="Z50" i="38"/>
  <c r="AU50" i="38"/>
  <c r="X50" i="38"/>
  <c r="AT50" i="38"/>
  <c r="R50" i="38"/>
  <c r="AR50" i="38"/>
  <c r="P50" i="38"/>
  <c r="AP50" i="38"/>
  <c r="O50" i="38"/>
  <c r="AK50" i="38"/>
  <c r="N50" i="38"/>
  <c r="I50" i="38"/>
  <c r="E50" i="38"/>
  <c r="AI50" i="38"/>
  <c r="AH50" i="38"/>
  <c r="AU57" i="46"/>
  <c r="AF57" i="46"/>
  <c r="F57" i="46"/>
  <c r="Y57" i="46"/>
  <c r="E57" i="46"/>
  <c r="AH57" i="46"/>
  <c r="T44" i="47"/>
  <c r="Q44" i="47"/>
  <c r="AL59" i="43"/>
  <c r="X59" i="43"/>
  <c r="N59" i="43"/>
  <c r="F54" i="40"/>
  <c r="AJ59" i="40"/>
  <c r="U59" i="40"/>
  <c r="T59" i="40"/>
  <c r="AL59" i="40"/>
  <c r="AH59" i="40"/>
  <c r="S59" i="40"/>
  <c r="AP59" i="40"/>
  <c r="AD49" i="39"/>
  <c r="AF49" i="39"/>
  <c r="AA49" i="39"/>
  <c r="Q49" i="39"/>
  <c r="P49" i="39"/>
  <c r="AI49" i="39"/>
  <c r="AE49" i="39"/>
  <c r="O49" i="39"/>
  <c r="I49" i="39"/>
  <c r="K50" i="38"/>
  <c r="AR58" i="35"/>
  <c r="AN58" i="35"/>
  <c r="AK58" i="35"/>
  <c r="AF58" i="35"/>
  <c r="AE58" i="35"/>
  <c r="AA58" i="35"/>
  <c r="Z58" i="35"/>
  <c r="Q58" i="35"/>
  <c r="K58" i="35"/>
  <c r="T46" i="39"/>
  <c r="R46" i="39"/>
  <c r="O46" i="39"/>
  <c r="AS46" i="39"/>
  <c r="F46" i="39"/>
  <c r="AN46" i="39"/>
  <c r="AM46" i="39"/>
  <c r="X46" i="39"/>
  <c r="W46" i="39"/>
  <c r="O54" i="40"/>
  <c r="Z62" i="40"/>
  <c r="AP62" i="40"/>
  <c r="Q46" i="39"/>
  <c r="AO62" i="39"/>
  <c r="V62" i="39"/>
  <c r="T62" i="39"/>
  <c r="U62" i="39"/>
  <c r="M50" i="38"/>
  <c r="O47" i="35"/>
  <c r="N47" i="35"/>
  <c r="AU51" i="35"/>
  <c r="AK51" i="35"/>
  <c r="AH51" i="35"/>
  <c r="AF51" i="35"/>
  <c r="AD51" i="35"/>
  <c r="Z51" i="35"/>
  <c r="Y51" i="35"/>
  <c r="T51" i="35"/>
  <c r="M51" i="35"/>
  <c r="V50" i="49"/>
  <c r="AT50" i="49"/>
  <c r="AO54" i="49"/>
  <c r="L57" i="46"/>
  <c r="AN57" i="46"/>
  <c r="AQ44" i="47"/>
  <c r="AR52" i="47"/>
  <c r="AP52" i="47"/>
  <c r="U52" i="47"/>
  <c r="AO52" i="47"/>
  <c r="P52" i="47"/>
  <c r="AD52" i="47"/>
  <c r="AE47" i="43"/>
  <c r="S47" i="43"/>
  <c r="Q47" i="43"/>
  <c r="AP47" i="43"/>
  <c r="N47" i="43"/>
  <c r="AQ47" i="43"/>
  <c r="AT54" i="43"/>
  <c r="O54" i="43"/>
  <c r="AS54" i="43"/>
  <c r="N54" i="43"/>
  <c r="AI54" i="43"/>
  <c r="I54" i="43"/>
  <c r="AR54" i="43"/>
  <c r="AN56" i="43"/>
  <c r="S56" i="43"/>
  <c r="AM56" i="43"/>
  <c r="P56" i="43"/>
  <c r="AI56" i="43"/>
  <c r="L56" i="43"/>
  <c r="AE56" i="43"/>
  <c r="AO59" i="43"/>
  <c r="AG54" i="40"/>
  <c r="N59" i="40"/>
  <c r="W63" i="40"/>
  <c r="T63" i="40"/>
  <c r="J63" i="40"/>
  <c r="I63" i="40"/>
  <c r="G63" i="40"/>
  <c r="E63" i="40"/>
  <c r="AT42" i="39"/>
  <c r="AI42" i="39"/>
  <c r="R42" i="39"/>
  <c r="AG42" i="39"/>
  <c r="N42" i="39"/>
  <c r="AU42" i="39"/>
  <c r="AA42" i="39"/>
  <c r="L42" i="39"/>
  <c r="AR42" i="39"/>
  <c r="Z42" i="39"/>
  <c r="K42" i="39"/>
  <c r="AQ42" i="39"/>
  <c r="T42" i="39"/>
  <c r="AO42" i="39"/>
  <c r="S42" i="39"/>
  <c r="AL42" i="39"/>
  <c r="J42" i="39"/>
  <c r="AH42" i="39"/>
  <c r="AO46" i="39"/>
  <c r="AM48" i="39"/>
  <c r="L48" i="39"/>
  <c r="AO48" i="39"/>
  <c r="J48" i="39"/>
  <c r="AJ48" i="39"/>
  <c r="H48" i="39"/>
  <c r="AH48" i="39"/>
  <c r="G48" i="39"/>
  <c r="AA48" i="39"/>
  <c r="Y48" i="39"/>
  <c r="U48" i="39"/>
  <c r="M48" i="39"/>
  <c r="AJ49" i="39"/>
  <c r="AE50" i="38"/>
  <c r="J51" i="35"/>
  <c r="AH47" i="40"/>
  <c r="Q47" i="40"/>
  <c r="N47" i="40"/>
  <c r="AL52" i="40"/>
  <c r="F52" i="40"/>
  <c r="AJ52" i="40"/>
  <c r="E52" i="40"/>
  <c r="AO52" i="40"/>
  <c r="AI64" i="40"/>
  <c r="AE64" i="40"/>
  <c r="R64" i="40"/>
  <c r="P64" i="40"/>
  <c r="F64" i="40"/>
  <c r="X63" i="38"/>
  <c r="V63" i="38"/>
  <c r="AU63" i="38"/>
  <c r="S63" i="38"/>
  <c r="AR63" i="38"/>
  <c r="R63" i="38"/>
  <c r="AN63" i="38"/>
  <c r="Q63" i="38"/>
  <c r="AK63" i="38"/>
  <c r="L63" i="38"/>
  <c r="AD64" i="46"/>
  <c r="AG55" i="47"/>
  <c r="AS42" i="43"/>
  <c r="AN43" i="43"/>
  <c r="O49" i="43"/>
  <c r="AG49" i="43"/>
  <c r="AU49" i="43"/>
  <c r="AL61" i="43"/>
  <c r="Q61" i="43"/>
  <c r="X61" i="43"/>
  <c r="S47" i="40"/>
  <c r="L52" i="40"/>
  <c r="AU52" i="40"/>
  <c r="AR64" i="40"/>
  <c r="AP65" i="39"/>
  <c r="AF65" i="39"/>
  <c r="K65" i="39"/>
  <c r="AU65" i="39"/>
  <c r="Z65" i="39"/>
  <c r="J65" i="39"/>
  <c r="AT65" i="39"/>
  <c r="Y65" i="39"/>
  <c r="I65" i="39"/>
  <c r="AQ65" i="39"/>
  <c r="W65" i="39"/>
  <c r="G65" i="39"/>
  <c r="AN65" i="39"/>
  <c r="V65" i="39"/>
  <c r="F65" i="39"/>
  <c r="AJ65" i="39"/>
  <c r="AH43" i="38"/>
  <c r="L43" i="38"/>
  <c r="H63" i="38"/>
  <c r="AR59" i="35"/>
  <c r="AD59" i="35"/>
  <c r="X59" i="35"/>
  <c r="V59" i="35"/>
  <c r="T59" i="35"/>
  <c r="S59" i="35"/>
  <c r="AQ59" i="35"/>
  <c r="O59" i="35"/>
  <c r="AE64" i="46"/>
  <c r="E55" i="47"/>
  <c r="AI55" i="47"/>
  <c r="AH65" i="47"/>
  <c r="N42" i="43"/>
  <c r="R49" i="43"/>
  <c r="AH49" i="43"/>
  <c r="F61" i="43"/>
  <c r="Y61" i="43"/>
  <c r="T47" i="40"/>
  <c r="P52" i="40"/>
  <c r="AN65" i="40"/>
  <c r="AP65" i="40"/>
  <c r="AD65" i="40"/>
  <c r="Z65" i="40"/>
  <c r="W65" i="40"/>
  <c r="AL54" i="39"/>
  <c r="L54" i="39"/>
  <c r="AM57" i="39"/>
  <c r="AF57" i="39"/>
  <c r="N57" i="39"/>
  <c r="M57" i="39"/>
  <c r="E65" i="39"/>
  <c r="AK65" i="39"/>
  <c r="H43" i="38"/>
  <c r="I63" i="38"/>
  <c r="G59" i="35"/>
  <c r="AJ61" i="40"/>
  <c r="AE43" i="39"/>
  <c r="AH52" i="39"/>
  <c r="U46" i="38"/>
  <c r="V53" i="38"/>
  <c r="AP53" i="38"/>
  <c r="AG55" i="38"/>
  <c r="AO59" i="38"/>
  <c r="AK60" i="38"/>
  <c r="Z45" i="35"/>
  <c r="N49" i="35"/>
  <c r="AU49" i="35"/>
  <c r="AD56" i="35"/>
  <c r="AS60" i="35"/>
  <c r="Y64" i="35"/>
  <c r="AT64" i="35"/>
  <c r="AH65" i="35"/>
  <c r="AA66" i="35"/>
  <c r="F60" i="40"/>
  <c r="H61" i="40"/>
  <c r="AM61" i="40"/>
  <c r="AF43" i="39"/>
  <c r="X46" i="38"/>
  <c r="W53" i="38"/>
  <c r="AQ53" i="38"/>
  <c r="AO55" i="38"/>
  <c r="AP59" i="38"/>
  <c r="AU60" i="38"/>
  <c r="AA45" i="35"/>
  <c r="AE56" i="35"/>
  <c r="AT60" i="35"/>
  <c r="Z64" i="35"/>
  <c r="AU64" i="35"/>
  <c r="AI65" i="35"/>
  <c r="AI66" i="35"/>
  <c r="AQ59" i="38"/>
  <c r="AK65" i="35"/>
  <c r="AH43" i="39"/>
  <c r="AS55" i="38"/>
  <c r="J59" i="38"/>
  <c r="AR59" i="38"/>
  <c r="AO45" i="35"/>
  <c r="O48" i="35"/>
  <c r="AS56" i="35"/>
  <c r="AT55" i="38"/>
  <c r="K59" i="38"/>
  <c r="AP45" i="35"/>
  <c r="K43" i="39"/>
  <c r="AO43" i="39"/>
  <c r="AO46" i="38"/>
  <c r="J53" i="38"/>
  <c r="AD53" i="38"/>
  <c r="Y56" i="38"/>
  <c r="N59" i="38"/>
  <c r="F60" i="38"/>
  <c r="J45" i="35"/>
  <c r="AR45" i="35"/>
  <c r="Q60" i="35"/>
  <c r="P61" i="35"/>
  <c r="L64" i="35"/>
  <c r="AG64" i="35"/>
  <c r="G66" i="35"/>
  <c r="P44" i="56"/>
  <c r="AL44" i="56"/>
  <c r="M44" i="56"/>
  <c r="AT44" i="56"/>
  <c r="L44" i="56"/>
  <c r="AK44" i="56"/>
  <c r="AJ44" i="56"/>
  <c r="AQ43" i="53"/>
  <c r="AL43" i="53"/>
  <c r="T43" i="53"/>
  <c r="R43" i="53"/>
  <c r="Q43" i="53"/>
  <c r="AP46" i="51"/>
  <c r="AK46" i="51"/>
  <c r="U46" i="51"/>
  <c r="G46" i="51"/>
  <c r="AI46" i="51"/>
  <c r="R46" i="51"/>
  <c r="AG46" i="51"/>
  <c r="O46" i="51"/>
  <c r="AS46" i="51"/>
  <c r="AA46" i="51"/>
  <c r="K46" i="51"/>
  <c r="AJ46" i="51"/>
  <c r="L46" i="51"/>
  <c r="AF46" i="51"/>
  <c r="I46" i="51"/>
  <c r="AE46" i="51"/>
  <c r="H46" i="51"/>
  <c r="AK49" i="49"/>
  <c r="S49" i="49"/>
  <c r="AE49" i="49"/>
  <c r="N49" i="49"/>
  <c r="AD49" i="49"/>
  <c r="K49" i="49"/>
  <c r="AI49" i="49"/>
  <c r="J49" i="49"/>
  <c r="Z49" i="49"/>
  <c r="G49" i="49"/>
  <c r="AQ49" i="49"/>
  <c r="W49" i="49"/>
  <c r="AA49" i="49"/>
  <c r="X49" i="49"/>
  <c r="V49" i="49"/>
  <c r="AN49" i="49"/>
  <c r="N44" i="56"/>
  <c r="AG52" i="56"/>
  <c r="T52" i="56"/>
  <c r="AF52" i="56"/>
  <c r="AE52" i="56"/>
  <c r="AH56" i="53"/>
  <c r="AL46" i="51"/>
  <c r="AH46" i="51"/>
  <c r="AG43" i="49"/>
  <c r="Q43" i="49"/>
  <c r="AK43" i="49"/>
  <c r="AJ43" i="49"/>
  <c r="AI43" i="49"/>
  <c r="AP52" i="35"/>
  <c r="AK52" i="35"/>
  <c r="O52" i="35"/>
  <c r="AI52" i="35"/>
  <c r="M52" i="35"/>
  <c r="AG52" i="35"/>
  <c r="L52" i="35"/>
  <c r="AE52" i="35"/>
  <c r="I52" i="35"/>
  <c r="Y52" i="35"/>
  <c r="W52" i="35"/>
  <c r="T52" i="35"/>
  <c r="AT52" i="35"/>
  <c r="R52" i="35"/>
  <c r="G52" i="35"/>
  <c r="E52" i="35"/>
  <c r="AQ52" i="35"/>
  <c r="AO52" i="35"/>
  <c r="AN52" i="35"/>
  <c r="AL52" i="35"/>
  <c r="AD52" i="35"/>
  <c r="Z52" i="35"/>
  <c r="P52" i="35"/>
  <c r="H52" i="35"/>
  <c r="AA57" i="56"/>
  <c r="AT57" i="56"/>
  <c r="P57" i="56"/>
  <c r="AF57" i="56"/>
  <c r="AD57" i="56"/>
  <c r="R57" i="56"/>
  <c r="AU57" i="56"/>
  <c r="AP65" i="56"/>
  <c r="AN65" i="56"/>
  <c r="X65" i="56"/>
  <c r="J65" i="56"/>
  <c r="AK65" i="56"/>
  <c r="U65" i="56"/>
  <c r="G65" i="56"/>
  <c r="AT65" i="56"/>
  <c r="Z65" i="56"/>
  <c r="I65" i="56"/>
  <c r="AR65" i="56"/>
  <c r="W65" i="56"/>
  <c r="F65" i="56"/>
  <c r="AQ65" i="56"/>
  <c r="V65" i="56"/>
  <c r="E65" i="56"/>
  <c r="E46" i="51"/>
  <c r="R43" i="49"/>
  <c r="AO49" i="49"/>
  <c r="R62" i="1"/>
  <c r="AK62" i="1"/>
  <c r="AN62" i="1"/>
  <c r="W62" i="1"/>
  <c r="E46" i="56"/>
  <c r="H65" i="56"/>
  <c r="AO53" i="52"/>
  <c r="AP53" i="52"/>
  <c r="AE53" i="52"/>
  <c r="F62" i="52"/>
  <c r="F65" i="52"/>
  <c r="F46" i="51"/>
  <c r="AL54" i="51"/>
  <c r="F54" i="51"/>
  <c r="AD54" i="51"/>
  <c r="U54" i="51"/>
  <c r="P54" i="51"/>
  <c r="AS54" i="51"/>
  <c r="AI54" i="51"/>
  <c r="AG54" i="51"/>
  <c r="I61" i="51"/>
  <c r="AO61" i="51"/>
  <c r="J63" i="51"/>
  <c r="S43" i="49"/>
  <c r="I49" i="49"/>
  <c r="AP49" i="49"/>
  <c r="AR56" i="49"/>
  <c r="AD56" i="49"/>
  <c r="N56" i="49"/>
  <c r="AO56" i="49"/>
  <c r="Y56" i="49"/>
  <c r="K56" i="49"/>
  <c r="AK56" i="49"/>
  <c r="R56" i="49"/>
  <c r="AA56" i="49"/>
  <c r="I56" i="49"/>
  <c r="AU56" i="49"/>
  <c r="X56" i="49"/>
  <c r="F56" i="49"/>
  <c r="AN56" i="49"/>
  <c r="U56" i="49"/>
  <c r="T56" i="49"/>
  <c r="AP56" i="49"/>
  <c r="O56" i="49"/>
  <c r="AM56" i="49"/>
  <c r="M56" i="49"/>
  <c r="AT60" i="48"/>
  <c r="W60" i="48"/>
  <c r="AQ60" i="48"/>
  <c r="Q60" i="48"/>
  <c r="AD60" i="48"/>
  <c r="X60" i="48"/>
  <c r="AU60" i="48"/>
  <c r="R60" i="48"/>
  <c r="AS60" i="48"/>
  <c r="P60" i="48"/>
  <c r="AF60" i="48"/>
  <c r="AI60" i="48"/>
  <c r="AG60" i="48"/>
  <c r="L60" i="48"/>
  <c r="K60" i="48"/>
  <c r="I60" i="48"/>
  <c r="H60" i="48"/>
  <c r="Z62" i="46"/>
  <c r="Q62" i="46"/>
  <c r="R62" i="46"/>
  <c r="P62" i="46"/>
  <c r="AU62" i="46"/>
  <c r="Y62" i="46"/>
  <c r="AT62" i="46"/>
  <c r="AS62" i="46"/>
  <c r="AR62" i="43"/>
  <c r="V62" i="43"/>
  <c r="AM62" i="43"/>
  <c r="O62" i="43"/>
  <c r="AL62" i="43"/>
  <c r="N62" i="43"/>
  <c r="W62" i="43"/>
  <c r="Q62" i="43"/>
  <c r="AS62" i="43"/>
  <c r="M62" i="43"/>
  <c r="AO62" i="43"/>
  <c r="L62" i="43"/>
  <c r="AF62" i="43"/>
  <c r="AE62" i="43"/>
  <c r="AA62" i="43"/>
  <c r="Z62" i="43"/>
  <c r="P62" i="43"/>
  <c r="AN62" i="43"/>
  <c r="K62" i="43"/>
  <c r="AP49" i="40"/>
  <c r="AK49" i="40"/>
  <c r="V49" i="40"/>
  <c r="I49" i="40"/>
  <c r="AU49" i="40"/>
  <c r="AH49" i="40"/>
  <c r="S49" i="40"/>
  <c r="F49" i="40"/>
  <c r="AT49" i="40"/>
  <c r="AG49" i="40"/>
  <c r="R49" i="40"/>
  <c r="E49" i="40"/>
  <c r="AJ49" i="40"/>
  <c r="O49" i="40"/>
  <c r="AI49" i="40"/>
  <c r="N49" i="40"/>
  <c r="AE49" i="40"/>
  <c r="L49" i="40"/>
  <c r="AA49" i="40"/>
  <c r="K49" i="40"/>
  <c r="W49" i="40"/>
  <c r="AS49" i="40"/>
  <c r="U49" i="40"/>
  <c r="AQ49" i="40"/>
  <c r="Q49" i="40"/>
  <c r="AO49" i="40"/>
  <c r="M49" i="40"/>
  <c r="AF49" i="40"/>
  <c r="T49" i="40"/>
  <c r="H49" i="40"/>
  <c r="AR49" i="40"/>
  <c r="Z49" i="40"/>
  <c r="X49" i="40"/>
  <c r="J49" i="40"/>
  <c r="AR52" i="35"/>
  <c r="AE46" i="56"/>
  <c r="K65" i="56"/>
  <c r="G41" i="53"/>
  <c r="G62" i="52"/>
  <c r="AJ49" i="51"/>
  <c r="G54" i="51"/>
  <c r="AR49" i="49"/>
  <c r="AN53" i="49"/>
  <c r="E56" i="49"/>
  <c r="AJ66" i="49"/>
  <c r="P66" i="49"/>
  <c r="AH66" i="49"/>
  <c r="O66" i="49"/>
  <c r="AR66" i="49"/>
  <c r="AA66" i="49"/>
  <c r="L66" i="49"/>
  <c r="Z66" i="49"/>
  <c r="G66" i="49"/>
  <c r="AP66" i="49"/>
  <c r="T66" i="49"/>
  <c r="AN66" i="49"/>
  <c r="N66" i="49"/>
  <c r="AK66" i="49"/>
  <c r="J66" i="49"/>
  <c r="V66" i="49"/>
  <c r="M66" i="49"/>
  <c r="AQ66" i="49"/>
  <c r="K66" i="49"/>
  <c r="G60" i="48"/>
  <c r="G49" i="40"/>
  <c r="AG46" i="56"/>
  <c r="Q61" i="56"/>
  <c r="AK61" i="56"/>
  <c r="L61" i="56"/>
  <c r="Z61" i="56"/>
  <c r="U61" i="56"/>
  <c r="R61" i="56"/>
  <c r="I64" i="56"/>
  <c r="L65" i="56"/>
  <c r="G58" i="53"/>
  <c r="AF58" i="53"/>
  <c r="AE65" i="53"/>
  <c r="O53" i="52"/>
  <c r="AQ56" i="52"/>
  <c r="AR56" i="52"/>
  <c r="M63" i="51"/>
  <c r="AR48" i="49"/>
  <c r="R48" i="49"/>
  <c r="AN48" i="49"/>
  <c r="N48" i="49"/>
  <c r="AF48" i="49"/>
  <c r="AD48" i="49"/>
  <c r="Q48" i="49"/>
  <c r="AU48" i="49"/>
  <c r="L48" i="49"/>
  <c r="AT48" i="49"/>
  <c r="AL48" i="49"/>
  <c r="AH48" i="49"/>
  <c r="M49" i="49"/>
  <c r="G53" i="49"/>
  <c r="H56" i="49"/>
  <c r="S43" i="48"/>
  <c r="R43" i="48"/>
  <c r="AO43" i="48"/>
  <c r="K43" i="48"/>
  <c r="AN43" i="48"/>
  <c r="J43" i="48"/>
  <c r="AJ43" i="48"/>
  <c r="AG43" i="48"/>
  <c r="T43" i="48"/>
  <c r="H43" i="48"/>
  <c r="J60" i="48"/>
  <c r="AR43" i="46"/>
  <c r="AH43" i="46"/>
  <c r="O43" i="46"/>
  <c r="AT43" i="46"/>
  <c r="AA43" i="46"/>
  <c r="K43" i="46"/>
  <c r="AJ43" i="46"/>
  <c r="N43" i="46"/>
  <c r="AI43" i="46"/>
  <c r="L43" i="46"/>
  <c r="AD43" i="46"/>
  <c r="I43" i="46"/>
  <c r="Z43" i="46"/>
  <c r="H43" i="46"/>
  <c r="W43" i="46"/>
  <c r="AU43" i="46"/>
  <c r="S43" i="46"/>
  <c r="AP43" i="46"/>
  <c r="J43" i="46"/>
  <c r="AL43" i="46"/>
  <c r="E43" i="46"/>
  <c r="AK43" i="46"/>
  <c r="X43" i="46"/>
  <c r="V43" i="46"/>
  <c r="AI54" i="46"/>
  <c r="AP62" i="46"/>
  <c r="AP46" i="47"/>
  <c r="AL46" i="47"/>
  <c r="W46" i="47"/>
  <c r="J46" i="47"/>
  <c r="AI46" i="47"/>
  <c r="T46" i="47"/>
  <c r="G46" i="47"/>
  <c r="AT46" i="47"/>
  <c r="AE46" i="47"/>
  <c r="M46" i="47"/>
  <c r="AS46" i="47"/>
  <c r="AA46" i="47"/>
  <c r="L46" i="47"/>
  <c r="AQ46" i="47"/>
  <c r="Y46" i="47"/>
  <c r="I46" i="47"/>
  <c r="AO46" i="47"/>
  <c r="X46" i="47"/>
  <c r="H46" i="47"/>
  <c r="AH46" i="47"/>
  <c r="F46" i="47"/>
  <c r="V46" i="47"/>
  <c r="S46" i="47"/>
  <c r="AN46" i="47"/>
  <c r="O46" i="47"/>
  <c r="AK46" i="47"/>
  <c r="C46" i="47"/>
  <c r="AG46" i="47"/>
  <c r="AF46" i="47"/>
  <c r="AL44" i="38"/>
  <c r="AA44" i="56"/>
  <c r="AH46" i="56"/>
  <c r="E48" i="56"/>
  <c r="Y48" i="56"/>
  <c r="T49" i="56"/>
  <c r="AD51" i="56"/>
  <c r="S52" i="56"/>
  <c r="J55" i="56"/>
  <c r="O57" i="56"/>
  <c r="S59" i="56"/>
  <c r="I61" i="56"/>
  <c r="V62" i="56"/>
  <c r="AO62" i="56"/>
  <c r="AA62" i="56"/>
  <c r="Q64" i="56"/>
  <c r="M65" i="56"/>
  <c r="AJ65" i="56"/>
  <c r="J41" i="53"/>
  <c r="AE41" i="53"/>
  <c r="V42" i="53"/>
  <c r="AO43" i="53"/>
  <c r="X47" i="53"/>
  <c r="H58" i="53"/>
  <c r="U62" i="53"/>
  <c r="AF65" i="53"/>
  <c r="O43" i="52"/>
  <c r="S62" i="52"/>
  <c r="O49" i="49"/>
  <c r="J53" i="49"/>
  <c r="AQ53" i="49"/>
  <c r="J53" i="48"/>
  <c r="V60" i="48"/>
  <c r="F43" i="46"/>
  <c r="M59" i="46"/>
  <c r="E46" i="47"/>
  <c r="Q44" i="43"/>
  <c r="AH47" i="1"/>
  <c r="W42" i="1"/>
  <c r="X59" i="1"/>
  <c r="Q54" i="1"/>
  <c r="AH42" i="1"/>
  <c r="AL46" i="1"/>
  <c r="AS46" i="1"/>
  <c r="X46" i="1"/>
  <c r="T46" i="1"/>
  <c r="L46" i="1"/>
  <c r="AD44" i="56"/>
  <c r="AI46" i="56"/>
  <c r="G48" i="56"/>
  <c r="AE48" i="56"/>
  <c r="U49" i="56"/>
  <c r="AF51" i="56"/>
  <c r="AU52" i="56"/>
  <c r="K55" i="56"/>
  <c r="AJ55" i="56"/>
  <c r="Q57" i="56"/>
  <c r="Y59" i="56"/>
  <c r="J61" i="56"/>
  <c r="Z62" i="56"/>
  <c r="T64" i="56"/>
  <c r="N65" i="56"/>
  <c r="AL65" i="56"/>
  <c r="K41" i="53"/>
  <c r="X42" i="53"/>
  <c r="AP43" i="53"/>
  <c r="Y47" i="53"/>
  <c r="AP53" i="53"/>
  <c r="AS53" i="53"/>
  <c r="AE53" i="53"/>
  <c r="AG53" i="53"/>
  <c r="N53" i="53"/>
  <c r="AR53" i="53"/>
  <c r="Y53" i="53"/>
  <c r="K53" i="53"/>
  <c r="AF53" i="53"/>
  <c r="J53" i="53"/>
  <c r="AU53" i="53"/>
  <c r="X53" i="53"/>
  <c r="H53" i="53"/>
  <c r="AT53" i="53"/>
  <c r="W53" i="53"/>
  <c r="G53" i="53"/>
  <c r="Z53" i="53"/>
  <c r="AK58" i="53"/>
  <c r="V62" i="53"/>
  <c r="Y44" i="52"/>
  <c r="AE56" i="52"/>
  <c r="AT46" i="51"/>
  <c r="M49" i="51"/>
  <c r="AQ49" i="51"/>
  <c r="S54" i="51"/>
  <c r="AL59" i="51"/>
  <c r="M48" i="49"/>
  <c r="P49" i="49"/>
  <c r="M53" i="49"/>
  <c r="AR53" i="49"/>
  <c r="K55" i="49"/>
  <c r="S66" i="49"/>
  <c r="Q43" i="48"/>
  <c r="AM46" i="48"/>
  <c r="AE45" i="46"/>
  <c r="AG45" i="46"/>
  <c r="R45" i="46"/>
  <c r="AQ45" i="46"/>
  <c r="AP45" i="46"/>
  <c r="AN45" i="46"/>
  <c r="AM45" i="46"/>
  <c r="AO45" i="46"/>
  <c r="X45" i="46"/>
  <c r="O45" i="46"/>
  <c r="Y45" i="46"/>
  <c r="P45" i="46"/>
  <c r="N45" i="46"/>
  <c r="AE49" i="46"/>
  <c r="M49" i="46"/>
  <c r="AR49" i="46"/>
  <c r="Z49" i="46"/>
  <c r="J49" i="46"/>
  <c r="AO49" i="46"/>
  <c r="U49" i="46"/>
  <c r="AN49" i="46"/>
  <c r="P49" i="46"/>
  <c r="AL49" i="46"/>
  <c r="N49" i="46"/>
  <c r="AK49" i="46"/>
  <c r="L49" i="46"/>
  <c r="AP49" i="46"/>
  <c r="H49" i="46"/>
  <c r="AM49" i="46"/>
  <c r="AD49" i="46"/>
  <c r="X49" i="46"/>
  <c r="I49" i="46"/>
  <c r="AR55" i="46"/>
  <c r="X59" i="46"/>
  <c r="AN44" i="38"/>
  <c r="J54" i="1"/>
  <c r="E58" i="1"/>
  <c r="T59" i="1"/>
  <c r="L50" i="1"/>
  <c r="AT42" i="56"/>
  <c r="AQ42" i="56"/>
  <c r="AA42" i="56"/>
  <c r="N42" i="56"/>
  <c r="AM42" i="56"/>
  <c r="X42" i="56"/>
  <c r="K42" i="56"/>
  <c r="AF42" i="56"/>
  <c r="M42" i="56"/>
  <c r="AS42" i="56"/>
  <c r="Z42" i="56"/>
  <c r="J42" i="56"/>
  <c r="AR42" i="56"/>
  <c r="Y42" i="56"/>
  <c r="I42" i="56"/>
  <c r="AP43" i="56"/>
  <c r="P43" i="56"/>
  <c r="AG43" i="56"/>
  <c r="L43" i="56"/>
  <c r="AD43" i="56"/>
  <c r="Z43" i="56"/>
  <c r="AU43" i="56"/>
  <c r="X43" i="56"/>
  <c r="AI43" i="56"/>
  <c r="AE44" i="56"/>
  <c r="O46" i="56"/>
  <c r="AJ46" i="56"/>
  <c r="H48" i="56"/>
  <c r="AI48" i="56"/>
  <c r="V49" i="56"/>
  <c r="I51" i="56"/>
  <c r="AI51" i="56"/>
  <c r="L55" i="56"/>
  <c r="AK55" i="56"/>
  <c r="AE57" i="56"/>
  <c r="Z59" i="56"/>
  <c r="K61" i="56"/>
  <c r="AG64" i="56"/>
  <c r="Q65" i="56"/>
  <c r="AM65" i="56"/>
  <c r="K58" i="53"/>
  <c r="AN58" i="53"/>
  <c r="J65" i="53"/>
  <c r="AA43" i="52"/>
  <c r="AD53" i="52"/>
  <c r="T46" i="51"/>
  <c r="AR49" i="51"/>
  <c r="AM59" i="51"/>
  <c r="V61" i="51"/>
  <c r="U49" i="49"/>
  <c r="AU51" i="49"/>
  <c r="AJ51" i="49"/>
  <c r="AG51" i="49"/>
  <c r="AO51" i="49"/>
  <c r="AN51" i="49"/>
  <c r="T51" i="49"/>
  <c r="N51" i="49"/>
  <c r="N53" i="49"/>
  <c r="AS53" i="49"/>
  <c r="L55" i="49"/>
  <c r="Q62" i="49"/>
  <c r="AH60" i="48"/>
  <c r="R43" i="46"/>
  <c r="Q45" i="46"/>
  <c r="K49" i="46"/>
  <c r="Y59" i="46"/>
  <c r="AA41" i="47"/>
  <c r="N46" i="47"/>
  <c r="AP53" i="47"/>
  <c r="AU53" i="47"/>
  <c r="AG53" i="47"/>
  <c r="Q53" i="47"/>
  <c r="AR53" i="47"/>
  <c r="Z53" i="47"/>
  <c r="L53" i="47"/>
  <c r="AK53" i="47"/>
  <c r="S53" i="47"/>
  <c r="AJ53" i="47"/>
  <c r="R53" i="47"/>
  <c r="AH53" i="47"/>
  <c r="M53" i="47"/>
  <c r="AF53" i="47"/>
  <c r="K53" i="47"/>
  <c r="Y53" i="47"/>
  <c r="E53" i="47"/>
  <c r="X53" i="47"/>
  <c r="V53" i="47"/>
  <c r="AS53" i="47"/>
  <c r="N53" i="47"/>
  <c r="J53" i="47"/>
  <c r="AT53" i="47"/>
  <c r="H53" i="47"/>
  <c r="AQ53" i="47"/>
  <c r="G53" i="47"/>
  <c r="AQ50" i="43"/>
  <c r="Q50" i="43"/>
  <c r="AN50" i="43"/>
  <c r="P50" i="43"/>
  <c r="AH50" i="43"/>
  <c r="L50" i="43"/>
  <c r="AG50" i="43"/>
  <c r="K50" i="43"/>
  <c r="AE50" i="43"/>
  <c r="AD50" i="43"/>
  <c r="X50" i="43"/>
  <c r="W50" i="43"/>
  <c r="AJ50" i="43"/>
  <c r="AS50" i="43"/>
  <c r="Y50" i="43"/>
  <c r="AR50" i="43"/>
  <c r="R50" i="43"/>
  <c r="O50" i="43"/>
  <c r="P50" i="1"/>
  <c r="AI54" i="1"/>
  <c r="Z47" i="1"/>
  <c r="K47" i="1"/>
  <c r="AT47" i="1"/>
  <c r="AN58" i="1"/>
  <c r="AA42" i="1"/>
  <c r="AT59" i="1"/>
  <c r="V59" i="1"/>
  <c r="W59" i="1"/>
  <c r="AS54" i="1"/>
  <c r="G54" i="1"/>
  <c r="AO50" i="1"/>
  <c r="AM59" i="1"/>
  <c r="Q58" i="1"/>
  <c r="AM42" i="1"/>
  <c r="AA56" i="1"/>
  <c r="AS56" i="1"/>
  <c r="AI56" i="1"/>
  <c r="AO56" i="1"/>
  <c r="O56" i="1"/>
  <c r="AG56" i="1"/>
  <c r="AD56" i="1"/>
  <c r="AJ56" i="1"/>
  <c r="AK56" i="1"/>
  <c r="AU44" i="1"/>
  <c r="M44" i="1"/>
  <c r="J44" i="1"/>
  <c r="AM44" i="1"/>
  <c r="W44" i="1"/>
  <c r="T44" i="1"/>
  <c r="AH44" i="1"/>
  <c r="U44" i="1"/>
  <c r="AQ44" i="1"/>
  <c r="Y44" i="1"/>
  <c r="E42" i="56"/>
  <c r="W42" i="56"/>
  <c r="G43" i="56"/>
  <c r="AQ43" i="56"/>
  <c r="AG44" i="56"/>
  <c r="Q46" i="56"/>
  <c r="I48" i="56"/>
  <c r="K51" i="56"/>
  <c r="N55" i="56"/>
  <c r="AG57" i="56"/>
  <c r="M61" i="56"/>
  <c r="R65" i="56"/>
  <c r="AS65" i="56"/>
  <c r="AF66" i="56"/>
  <c r="M41" i="53"/>
  <c r="AO44" i="53"/>
  <c r="U44" i="53"/>
  <c r="AL44" i="53"/>
  <c r="P44" i="53"/>
  <c r="AN44" i="53"/>
  <c r="L44" i="53"/>
  <c r="AK44" i="53"/>
  <c r="J44" i="53"/>
  <c r="AJ44" i="53"/>
  <c r="I44" i="53"/>
  <c r="AM44" i="53"/>
  <c r="J49" i="53"/>
  <c r="F53" i="53"/>
  <c r="AI53" i="53"/>
  <c r="L58" i="53"/>
  <c r="K65" i="53"/>
  <c r="AN65" i="53"/>
  <c r="AJ41" i="52"/>
  <c r="O41" i="52"/>
  <c r="AN41" i="52"/>
  <c r="Z41" i="52"/>
  <c r="AM41" i="52"/>
  <c r="AA41" i="52"/>
  <c r="AI44" i="52"/>
  <c r="AQ51" i="52"/>
  <c r="AR51" i="52"/>
  <c r="W51" i="52"/>
  <c r="G51" i="52"/>
  <c r="AU51" i="52"/>
  <c r="X51" i="52"/>
  <c r="F51" i="52"/>
  <c r="AM51" i="52"/>
  <c r="T51" i="52"/>
  <c r="V51" i="52"/>
  <c r="AT51" i="52"/>
  <c r="S51" i="52"/>
  <c r="AO51" i="52"/>
  <c r="R51" i="52"/>
  <c r="AH51" i="52"/>
  <c r="AQ53" i="52"/>
  <c r="J58" i="52"/>
  <c r="AT58" i="52"/>
  <c r="Y41" i="51"/>
  <c r="V46" i="51"/>
  <c r="AK47" i="51"/>
  <c r="G47" i="51"/>
  <c r="AL47" i="51"/>
  <c r="E47" i="51"/>
  <c r="AH47" i="51"/>
  <c r="V47" i="51"/>
  <c r="Q47" i="51"/>
  <c r="N47" i="51"/>
  <c r="H47" i="51"/>
  <c r="R49" i="51"/>
  <c r="AD52" i="51"/>
  <c r="N52" i="51"/>
  <c r="AU52" i="51"/>
  <c r="AF52" i="51"/>
  <c r="R52" i="51"/>
  <c r="U52" i="51"/>
  <c r="T52" i="51"/>
  <c r="AK54" i="51"/>
  <c r="S48" i="49"/>
  <c r="Y49" i="49"/>
  <c r="O51" i="49"/>
  <c r="R53" i="49"/>
  <c r="V56" i="49"/>
  <c r="AT59" i="49"/>
  <c r="AD59" i="49"/>
  <c r="L59" i="49"/>
  <c r="AQ59" i="49"/>
  <c r="Y59" i="49"/>
  <c r="H59" i="49"/>
  <c r="AE59" i="49"/>
  <c r="I59" i="49"/>
  <c r="X59" i="49"/>
  <c r="AR59" i="49"/>
  <c r="U59" i="49"/>
  <c r="AN59" i="49"/>
  <c r="O59" i="49"/>
  <c r="AA59" i="49"/>
  <c r="W59" i="49"/>
  <c r="T59" i="49"/>
  <c r="AP59" i="49"/>
  <c r="X66" i="49"/>
  <c r="AH43" i="48"/>
  <c r="AL53" i="48"/>
  <c r="AP60" i="48"/>
  <c r="T43" i="46"/>
  <c r="AR45" i="46"/>
  <c r="O49" i="46"/>
  <c r="AA56" i="46"/>
  <c r="K56" i="46"/>
  <c r="AP56" i="46"/>
  <c r="X56" i="46"/>
  <c r="H56" i="46"/>
  <c r="AE56" i="46"/>
  <c r="J56" i="46"/>
  <c r="AD56" i="46"/>
  <c r="I56" i="46"/>
  <c r="Y56" i="46"/>
  <c r="AS56" i="46"/>
  <c r="W56" i="46"/>
  <c r="Z56" i="46"/>
  <c r="AK56" i="46"/>
  <c r="V56" i="46"/>
  <c r="O56" i="46"/>
  <c r="AL56" i="46"/>
  <c r="U56" i="46"/>
  <c r="P56" i="46"/>
  <c r="Q46" i="47"/>
  <c r="F53" i="47"/>
  <c r="G50" i="43"/>
  <c r="AP46" i="56"/>
  <c r="AO46" i="56"/>
  <c r="Z46" i="56"/>
  <c r="M46" i="56"/>
  <c r="AL46" i="56"/>
  <c r="W46" i="56"/>
  <c r="J46" i="56"/>
  <c r="AU46" i="56"/>
  <c r="AF46" i="56"/>
  <c r="N46" i="56"/>
  <c r="AS46" i="56"/>
  <c r="AA46" i="56"/>
  <c r="K46" i="56"/>
  <c r="AR46" i="56"/>
  <c r="Y46" i="56"/>
  <c r="I46" i="56"/>
  <c r="V46" i="56"/>
  <c r="AT59" i="56"/>
  <c r="R59" i="56"/>
  <c r="AL59" i="56"/>
  <c r="M59" i="56"/>
  <c r="Q59" i="56"/>
  <c r="AQ59" i="56"/>
  <c r="L59" i="56"/>
  <c r="AM59" i="56"/>
  <c r="K59" i="56"/>
  <c r="L43" i="53"/>
  <c r="X59" i="53"/>
  <c r="X61" i="53"/>
  <c r="AF61" i="53"/>
  <c r="Y61" i="53"/>
  <c r="Y62" i="52"/>
  <c r="Q62" i="52"/>
  <c r="AO62" i="52"/>
  <c r="J62" i="52"/>
  <c r="AL62" i="52"/>
  <c r="E62" i="52"/>
  <c r="AN62" i="52"/>
  <c r="AK62" i="52"/>
  <c r="AG62" i="52"/>
  <c r="T65" i="52"/>
  <c r="I65" i="52"/>
  <c r="AP65" i="52"/>
  <c r="G65" i="52"/>
  <c r="AM65" i="52"/>
  <c r="Y65" i="52"/>
  <c r="U65" i="52"/>
  <c r="J65" i="52"/>
  <c r="S59" i="51"/>
  <c r="V59" i="51"/>
  <c r="Q59" i="51"/>
  <c r="G59" i="51"/>
  <c r="AH59" i="51"/>
  <c r="AD59" i="51"/>
  <c r="T59" i="51"/>
  <c r="AS61" i="51"/>
  <c r="AJ61" i="51"/>
  <c r="T61" i="51"/>
  <c r="E61" i="51"/>
  <c r="AT61" i="51"/>
  <c r="AA61" i="51"/>
  <c r="L61" i="51"/>
  <c r="AL61" i="51"/>
  <c r="R61" i="51"/>
  <c r="AI61" i="51"/>
  <c r="O61" i="51"/>
  <c r="AE61" i="51"/>
  <c r="K61" i="51"/>
  <c r="AK61" i="51"/>
  <c r="J61" i="51"/>
  <c r="AF61" i="51"/>
  <c r="H61" i="51"/>
  <c r="Z61" i="51"/>
  <c r="F61" i="51"/>
  <c r="AN61" i="51"/>
  <c r="AD63" i="51"/>
  <c r="AA63" i="51"/>
  <c r="S63" i="51"/>
  <c r="AU63" i="51"/>
  <c r="O63" i="51"/>
  <c r="AK63" i="51"/>
  <c r="K63" i="51"/>
  <c r="AJ63" i="51"/>
  <c r="AH63" i="51"/>
  <c r="AG63" i="51"/>
  <c r="F49" i="49"/>
  <c r="AR54" i="46"/>
  <c r="AK54" i="46"/>
  <c r="J54" i="46"/>
  <c r="AG54" i="46"/>
  <c r="F54" i="46"/>
  <c r="AF54" i="46"/>
  <c r="AE54" i="46"/>
  <c r="S54" i="46"/>
  <c r="R54" i="46"/>
  <c r="AQ54" i="46"/>
  <c r="AJ54" i="46"/>
  <c r="Q54" i="46"/>
  <c r="AD54" i="46"/>
  <c r="O54" i="46"/>
  <c r="I54" i="46"/>
  <c r="Y56" i="47"/>
  <c r="AA56" i="47"/>
  <c r="Z56" i="47"/>
  <c r="U52" i="35"/>
  <c r="O44" i="56"/>
  <c r="X46" i="56"/>
  <c r="P52" i="56"/>
  <c r="L57" i="56"/>
  <c r="AP41" i="53"/>
  <c r="AK41" i="53"/>
  <c r="V41" i="53"/>
  <c r="I41" i="53"/>
  <c r="AU41" i="53"/>
  <c r="AH41" i="53"/>
  <c r="S41" i="53"/>
  <c r="F41" i="53"/>
  <c r="AM41" i="53"/>
  <c r="U41" i="53"/>
  <c r="E41" i="53"/>
  <c r="AJ41" i="53"/>
  <c r="R41" i="53"/>
  <c r="C41" i="53"/>
  <c r="AI41" i="53"/>
  <c r="Q41" i="53"/>
  <c r="Y41" i="53"/>
  <c r="AT41" i="53"/>
  <c r="S43" i="53"/>
  <c r="X56" i="53"/>
  <c r="Y59" i="53"/>
  <c r="H62" i="53"/>
  <c r="AU62" i="53"/>
  <c r="I62" i="53"/>
  <c r="J66" i="53"/>
  <c r="X66" i="53"/>
  <c r="K66" i="53"/>
  <c r="W66" i="53"/>
  <c r="G66" i="53"/>
  <c r="F66" i="53"/>
  <c r="AN46" i="51"/>
  <c r="E59" i="51"/>
  <c r="AJ56" i="49"/>
  <c r="G54" i="46"/>
  <c r="E56" i="47"/>
  <c r="AS66" i="40"/>
  <c r="Y66" i="40"/>
  <c r="X66" i="40"/>
  <c r="V66" i="40"/>
  <c r="T66" i="40"/>
  <c r="AO66" i="40"/>
  <c r="I66" i="40"/>
  <c r="AN66" i="40"/>
  <c r="G66" i="40"/>
  <c r="AL66" i="40"/>
  <c r="AK66" i="40"/>
  <c r="W66" i="40"/>
  <c r="M66" i="40"/>
  <c r="K66" i="40"/>
  <c r="J66" i="40"/>
  <c r="AM66" i="40"/>
  <c r="L66" i="40"/>
  <c r="AA50" i="1"/>
  <c r="Q44" i="56"/>
  <c r="F46" i="56"/>
  <c r="I49" i="56"/>
  <c r="AP49" i="56"/>
  <c r="Q49" i="56"/>
  <c r="AI55" i="56"/>
  <c r="S55" i="56"/>
  <c r="E55" i="56"/>
  <c r="AT55" i="56"/>
  <c r="AE55" i="56"/>
  <c r="O55" i="56"/>
  <c r="AR55" i="56"/>
  <c r="Z55" i="56"/>
  <c r="I55" i="56"/>
  <c r="AP55" i="56"/>
  <c r="W55" i="56"/>
  <c r="G55" i="56"/>
  <c r="AO55" i="56"/>
  <c r="V55" i="56"/>
  <c r="F55" i="56"/>
  <c r="M57" i="56"/>
  <c r="H59" i="56"/>
  <c r="AH64" i="56"/>
  <c r="S64" i="56"/>
  <c r="R64" i="56"/>
  <c r="M64" i="56"/>
  <c r="L64" i="56"/>
  <c r="Z41" i="53"/>
  <c r="AR42" i="53"/>
  <c r="M42" i="53"/>
  <c r="AO42" i="53"/>
  <c r="W42" i="53"/>
  <c r="O42" i="53"/>
  <c r="N42" i="53"/>
  <c r="U43" i="53"/>
  <c r="X54" i="53"/>
  <c r="Y56" i="53"/>
  <c r="AQ58" i="53"/>
  <c r="AU58" i="53"/>
  <c r="AG58" i="53"/>
  <c r="O58" i="53"/>
  <c r="AO58" i="53"/>
  <c r="X58" i="53"/>
  <c r="I58" i="53"/>
  <c r="AL58" i="53"/>
  <c r="U58" i="53"/>
  <c r="F58" i="53"/>
  <c r="AM58" i="53"/>
  <c r="S58" i="53"/>
  <c r="AJ58" i="53"/>
  <c r="N58" i="53"/>
  <c r="AI58" i="53"/>
  <c r="M58" i="53"/>
  <c r="AA58" i="53"/>
  <c r="J62" i="53"/>
  <c r="V66" i="53"/>
  <c r="AK43" i="52"/>
  <c r="AO43" i="52"/>
  <c r="P43" i="52"/>
  <c r="M43" i="52"/>
  <c r="AQ43" i="52"/>
  <c r="AE43" i="52"/>
  <c r="AD43" i="52"/>
  <c r="AG58" i="52"/>
  <c r="H65" i="52"/>
  <c r="J46" i="51"/>
  <c r="AS49" i="51"/>
  <c r="AO49" i="51"/>
  <c r="Y49" i="51"/>
  <c r="K49" i="51"/>
  <c r="AF49" i="51"/>
  <c r="N49" i="51"/>
  <c r="AT49" i="51"/>
  <c r="AA49" i="51"/>
  <c r="L49" i="51"/>
  <c r="AN49" i="51"/>
  <c r="W49" i="51"/>
  <c r="H49" i="51"/>
  <c r="AK49" i="51"/>
  <c r="O49" i="51"/>
  <c r="AI49" i="51"/>
  <c r="J49" i="51"/>
  <c r="AH49" i="51"/>
  <c r="I49" i="51"/>
  <c r="N59" i="51"/>
  <c r="AQ61" i="51"/>
  <c r="L49" i="49"/>
  <c r="AP53" i="49"/>
  <c r="AM53" i="49"/>
  <c r="X53" i="49"/>
  <c r="K53" i="49"/>
  <c r="AJ53" i="49"/>
  <c r="U53" i="49"/>
  <c r="H53" i="49"/>
  <c r="AG53" i="49"/>
  <c r="O53" i="49"/>
  <c r="AL53" i="49"/>
  <c r="S53" i="49"/>
  <c r="AI53" i="49"/>
  <c r="Q53" i="49"/>
  <c r="AU53" i="49"/>
  <c r="AE53" i="49"/>
  <c r="L53" i="49"/>
  <c r="AH53" i="49"/>
  <c r="I53" i="49"/>
  <c r="AA53" i="49"/>
  <c r="F53" i="49"/>
  <c r="Z53" i="49"/>
  <c r="E53" i="49"/>
  <c r="AQ55" i="49"/>
  <c r="V55" i="49"/>
  <c r="AM55" i="49"/>
  <c r="O55" i="49"/>
  <c r="AR55" i="49"/>
  <c r="P55" i="49"/>
  <c r="AD55" i="49"/>
  <c r="X55" i="49"/>
  <c r="M55" i="49"/>
  <c r="AK55" i="49"/>
  <c r="AE55" i="49"/>
  <c r="AA55" i="49"/>
  <c r="AL56" i="49"/>
  <c r="AA62" i="46"/>
  <c r="S44" i="43"/>
  <c r="R44" i="43"/>
  <c r="AQ44" i="43"/>
  <c r="L44" i="43"/>
  <c r="AP44" i="43"/>
  <c r="AR44" i="43"/>
  <c r="AN44" i="43"/>
  <c r="AJ44" i="43"/>
  <c r="AI44" i="43"/>
  <c r="AH44" i="43"/>
  <c r="H44" i="43"/>
  <c r="AU64" i="43"/>
  <c r="AT64" i="43"/>
  <c r="V64" i="43"/>
  <c r="AP44" i="38"/>
  <c r="AK44" i="38"/>
  <c r="V44" i="38"/>
  <c r="I44" i="38"/>
  <c r="AJ44" i="38"/>
  <c r="U44" i="38"/>
  <c r="H44" i="38"/>
  <c r="AU44" i="38"/>
  <c r="AF44" i="38"/>
  <c r="N44" i="38"/>
  <c r="AS44" i="38"/>
  <c r="AA44" i="38"/>
  <c r="L44" i="38"/>
  <c r="AR44" i="38"/>
  <c r="Z44" i="38"/>
  <c r="K44" i="38"/>
  <c r="AI44" i="38"/>
  <c r="M44" i="38"/>
  <c r="AH44" i="38"/>
  <c r="J44" i="38"/>
  <c r="AE44" i="38"/>
  <c r="F44" i="38"/>
  <c r="Y44" i="38"/>
  <c r="E44" i="38"/>
  <c r="AG44" i="38"/>
  <c r="X44" i="38"/>
  <c r="T44" i="38"/>
  <c r="S44" i="38"/>
  <c r="W44" i="38"/>
  <c r="R44" i="38"/>
  <c r="O44" i="38"/>
  <c r="G44" i="38"/>
  <c r="Q44" i="38"/>
  <c r="AT44" i="38"/>
  <c r="S50" i="1"/>
  <c r="AK50" i="1"/>
  <c r="G46" i="56"/>
  <c r="AJ48" i="56"/>
  <c r="T48" i="56"/>
  <c r="F48" i="56"/>
  <c r="AU48" i="56"/>
  <c r="AG48" i="56"/>
  <c r="P48" i="56"/>
  <c r="AH48" i="56"/>
  <c r="M48" i="56"/>
  <c r="AD48" i="56"/>
  <c r="K48" i="56"/>
  <c r="AT48" i="56"/>
  <c r="AA48" i="56"/>
  <c r="J48" i="56"/>
  <c r="X48" i="56"/>
  <c r="R49" i="56"/>
  <c r="P59" i="56"/>
  <c r="AA41" i="53"/>
  <c r="Q62" i="53"/>
  <c r="Y66" i="53"/>
  <c r="E58" i="52"/>
  <c r="AH58" i="52"/>
  <c r="K62" i="52"/>
  <c r="V65" i="52"/>
  <c r="N46" i="51"/>
  <c r="AQ46" i="51"/>
  <c r="E49" i="51"/>
  <c r="P59" i="51"/>
  <c r="N61" i="51"/>
  <c r="I55" i="49"/>
  <c r="AQ56" i="49"/>
  <c r="F66" i="49"/>
  <c r="I53" i="48"/>
  <c r="AL59" i="46"/>
  <c r="AO59" i="46"/>
  <c r="O59" i="46"/>
  <c r="AF59" i="46"/>
  <c r="L59" i="46"/>
  <c r="AR59" i="46"/>
  <c r="P59" i="46"/>
  <c r="AQ59" i="46"/>
  <c r="N59" i="46"/>
  <c r="AN59" i="46"/>
  <c r="K59" i="46"/>
  <c r="AG59" i="46"/>
  <c r="J59" i="46"/>
  <c r="Z59" i="46"/>
  <c r="AE59" i="46"/>
  <c r="AA59" i="46"/>
  <c r="Q59" i="46"/>
  <c r="AS59" i="46"/>
  <c r="AP59" i="46"/>
  <c r="AP41" i="47"/>
  <c r="AM41" i="47"/>
  <c r="X41" i="47"/>
  <c r="K41" i="47"/>
  <c r="AJ41" i="47"/>
  <c r="U41" i="47"/>
  <c r="H41" i="47"/>
  <c r="AR41" i="47"/>
  <c r="Z41" i="47"/>
  <c r="J41" i="47"/>
  <c r="AQ41" i="47"/>
  <c r="Y41" i="47"/>
  <c r="I41" i="47"/>
  <c r="AN41" i="47"/>
  <c r="V41" i="47"/>
  <c r="F41" i="47"/>
  <c r="AL41" i="47"/>
  <c r="T41" i="47"/>
  <c r="E41" i="47"/>
  <c r="AH41" i="47"/>
  <c r="L41" i="47"/>
  <c r="S41" i="47"/>
  <c r="AT41" i="47"/>
  <c r="Q41" i="47"/>
  <c r="AK41" i="47"/>
  <c r="M41" i="47"/>
  <c r="R41" i="47"/>
  <c r="N41" i="47"/>
  <c r="AU41" i="47"/>
  <c r="G41" i="47"/>
  <c r="I44" i="43"/>
  <c r="AD62" i="43"/>
  <c r="U64" i="43"/>
  <c r="Y49" i="40"/>
  <c r="AI66" i="40"/>
  <c r="AI50" i="1"/>
  <c r="AK59" i="1"/>
  <c r="AA59" i="1"/>
  <c r="J59" i="1"/>
  <c r="M59" i="1"/>
  <c r="R59" i="1"/>
  <c r="AQ59" i="1"/>
  <c r="AI59" i="1"/>
  <c r="K59" i="1"/>
  <c r="AR59" i="1"/>
  <c r="L59" i="1"/>
  <c r="U59" i="1"/>
  <c r="G47" i="1"/>
  <c r="AI47" i="1"/>
  <c r="AP47" i="1"/>
  <c r="J47" i="1"/>
  <c r="R47" i="1"/>
  <c r="AR47" i="1"/>
  <c r="AO47" i="1"/>
  <c r="AA47" i="1"/>
  <c r="N47" i="1"/>
  <c r="H47" i="1"/>
  <c r="H46" i="56"/>
  <c r="AP51" i="56"/>
  <c r="Y51" i="56"/>
  <c r="J51" i="56"/>
  <c r="AM51" i="56"/>
  <c r="V51" i="56"/>
  <c r="G51" i="56"/>
  <c r="AO51" i="56"/>
  <c r="U51" i="56"/>
  <c r="AL51" i="56"/>
  <c r="P51" i="56"/>
  <c r="AK51" i="56"/>
  <c r="O51" i="56"/>
  <c r="AH55" i="56"/>
  <c r="Y51" i="53"/>
  <c r="AF54" i="53"/>
  <c r="AH58" i="53"/>
  <c r="F65" i="53"/>
  <c r="AF66" i="53"/>
  <c r="P53" i="52"/>
  <c r="P56" i="52"/>
  <c r="F58" i="52"/>
  <c r="AK58" i="52"/>
  <c r="Z65" i="52"/>
  <c r="Q46" i="51"/>
  <c r="AR46" i="51"/>
  <c r="F49" i="51"/>
  <c r="AM49" i="51"/>
  <c r="R54" i="51"/>
  <c r="AG59" i="51"/>
  <c r="Q61" i="51"/>
  <c r="AU61" i="51"/>
  <c r="P63" i="51"/>
  <c r="K48" i="49"/>
  <c r="J55" i="49"/>
  <c r="J56" i="49"/>
  <c r="AE62" i="49"/>
  <c r="AQ62" i="49"/>
  <c r="N62" i="49"/>
  <c r="AN62" i="49"/>
  <c r="W62" i="49"/>
  <c r="V62" i="49"/>
  <c r="P62" i="49"/>
  <c r="AP62" i="49"/>
  <c r="AO62" i="49"/>
  <c r="H66" i="49"/>
  <c r="I43" i="48"/>
  <c r="AQ62" i="46"/>
  <c r="O41" i="47"/>
  <c r="AU62" i="47"/>
  <c r="C62" i="47"/>
  <c r="AK62" i="43"/>
  <c r="AL49" i="40"/>
  <c r="AN44" i="39"/>
  <c r="V44" i="39"/>
  <c r="AM44" i="39"/>
  <c r="AQ44" i="39"/>
  <c r="W44" i="39"/>
  <c r="AP44" i="39"/>
  <c r="U44" i="39"/>
  <c r="AL44" i="39"/>
  <c r="O44" i="39"/>
  <c r="AK44" i="39"/>
  <c r="N44" i="39"/>
  <c r="AA44" i="39"/>
  <c r="Z44" i="39"/>
  <c r="X44" i="39"/>
  <c r="P44" i="39"/>
  <c r="AD44" i="39"/>
  <c r="Y44" i="39"/>
  <c r="L44" i="39"/>
  <c r="K44" i="39"/>
  <c r="AJ44" i="39"/>
  <c r="J44" i="39"/>
  <c r="H44" i="39"/>
  <c r="AS44" i="39"/>
  <c r="AM44" i="38"/>
  <c r="S54" i="1"/>
  <c r="AP59" i="1"/>
  <c r="AD50" i="1"/>
  <c r="U50" i="1"/>
  <c r="G58" i="1"/>
  <c r="AR58" i="1"/>
  <c r="AA58" i="1"/>
  <c r="J58" i="1"/>
  <c r="R58" i="1"/>
  <c r="Z58" i="1"/>
  <c r="AS58" i="1"/>
  <c r="AU58" i="1"/>
  <c r="AG58" i="1"/>
  <c r="V58" i="1"/>
  <c r="H58" i="1"/>
  <c r="S58" i="1"/>
  <c r="P58" i="1"/>
  <c r="L58" i="1"/>
  <c r="L46" i="56"/>
  <c r="H51" i="56"/>
  <c r="AF41" i="53"/>
  <c r="Z49" i="53"/>
  <c r="F49" i="53"/>
  <c r="V49" i="53"/>
  <c r="AI49" i="53"/>
  <c r="E49" i="53"/>
  <c r="Y49" i="53"/>
  <c r="X49" i="53"/>
  <c r="AL49" i="53"/>
  <c r="X51" i="53"/>
  <c r="J58" i="53"/>
  <c r="G65" i="53"/>
  <c r="AI65" i="53"/>
  <c r="AG66" i="53"/>
  <c r="Z43" i="52"/>
  <c r="AA53" i="52"/>
  <c r="U55" i="52"/>
  <c r="AL55" i="52"/>
  <c r="F55" i="52"/>
  <c r="AH55" i="52"/>
  <c r="W55" i="52"/>
  <c r="S55" i="52"/>
  <c r="K55" i="52"/>
  <c r="G58" i="52"/>
  <c r="AL58" i="52"/>
  <c r="V62" i="52"/>
  <c r="AJ65" i="52"/>
  <c r="AS42" i="51"/>
  <c r="P42" i="51"/>
  <c r="AO42" i="51"/>
  <c r="Q42" i="51"/>
  <c r="AM42" i="51"/>
  <c r="O42" i="51"/>
  <c r="S46" i="51"/>
  <c r="U61" i="51"/>
  <c r="T63" i="51"/>
  <c r="L56" i="49"/>
  <c r="O62" i="49"/>
  <c r="AP46" i="48"/>
  <c r="AU46" i="48"/>
  <c r="AG46" i="48"/>
  <c r="Q46" i="48"/>
  <c r="AT46" i="48"/>
  <c r="AF46" i="48"/>
  <c r="N46" i="48"/>
  <c r="AR46" i="48"/>
  <c r="Z46" i="48"/>
  <c r="L46" i="48"/>
  <c r="AQ46" i="48"/>
  <c r="Y46" i="48"/>
  <c r="K46" i="48"/>
  <c r="W46" i="48"/>
  <c r="E46" i="48"/>
  <c r="V46" i="48"/>
  <c r="AS46" i="48"/>
  <c r="T46" i="48"/>
  <c r="AL46" i="48"/>
  <c r="M46" i="48"/>
  <c r="U46" i="48"/>
  <c r="R46" i="48"/>
  <c r="J46" i="48"/>
  <c r="R53" i="48"/>
  <c r="AE60" i="48"/>
  <c r="G43" i="46"/>
  <c r="AR62" i="46"/>
  <c r="W41" i="47"/>
  <c r="K46" i="47"/>
  <c r="T44" i="43"/>
  <c r="AM49" i="40"/>
  <c r="I44" i="39"/>
  <c r="AO59" i="1"/>
  <c r="AH58" i="1"/>
  <c r="AG47" i="1"/>
  <c r="Q47" i="1"/>
  <c r="P42" i="1"/>
  <c r="I59" i="1"/>
  <c r="AE59" i="1"/>
  <c r="AG54" i="1"/>
  <c r="K50" i="1"/>
  <c r="X42" i="1"/>
  <c r="AD58" i="1"/>
  <c r="AS50" i="1"/>
  <c r="O59" i="1"/>
  <c r="U58" i="1"/>
  <c r="V42" i="56"/>
  <c r="L41" i="53"/>
  <c r="AG41" i="53"/>
  <c r="AF42" i="53"/>
  <c r="AG48" i="53"/>
  <c r="U48" i="53"/>
  <c r="R48" i="53"/>
  <c r="Q48" i="53"/>
  <c r="AQ48" i="53"/>
  <c r="J48" i="53"/>
  <c r="AP48" i="53"/>
  <c r="I48" i="53"/>
  <c r="I49" i="53"/>
  <c r="AM49" i="53"/>
  <c r="AH51" i="53"/>
  <c r="E53" i="53"/>
  <c r="AH53" i="53"/>
  <c r="J55" i="53"/>
  <c r="W55" i="53"/>
  <c r="Q55" i="53"/>
  <c r="AK55" i="53"/>
  <c r="X55" i="53"/>
  <c r="W62" i="53"/>
  <c r="AM65" i="53"/>
  <c r="Z44" i="52"/>
  <c r="AP46" i="52"/>
  <c r="AQ46" i="52"/>
  <c r="G55" i="52"/>
  <c r="H58" i="52"/>
  <c r="AN58" i="52"/>
  <c r="W62" i="52"/>
  <c r="AN65" i="52"/>
  <c r="AU46" i="51"/>
  <c r="Q49" i="51"/>
  <c r="V54" i="51"/>
  <c r="Y63" i="51"/>
  <c r="P48" i="49"/>
  <c r="P56" i="49"/>
  <c r="W66" i="49"/>
  <c r="AA43" i="48"/>
  <c r="F46" i="48"/>
  <c r="AN46" i="48"/>
  <c r="X55" i="46"/>
  <c r="AI41" i="43"/>
  <c r="AR41" i="43"/>
  <c r="T41" i="43"/>
  <c r="U44" i="43"/>
  <c r="AN49" i="40"/>
  <c r="M44" i="39"/>
  <c r="AO44" i="38"/>
  <c r="AP65" i="38"/>
  <c r="AR65" i="38"/>
  <c r="X65" i="38"/>
  <c r="I65" i="38"/>
  <c r="AQ65" i="38"/>
  <c r="W65" i="38"/>
  <c r="H65" i="38"/>
  <c r="AK65" i="38"/>
  <c r="R65" i="38"/>
  <c r="AJ65" i="38"/>
  <c r="Q65" i="38"/>
  <c r="AH65" i="38"/>
  <c r="L65" i="38"/>
  <c r="AG65" i="38"/>
  <c r="K65" i="38"/>
  <c r="AU65" i="38"/>
  <c r="S65" i="38"/>
  <c r="AT65" i="38"/>
  <c r="O65" i="38"/>
  <c r="AO65" i="38"/>
  <c r="G65" i="38"/>
  <c r="AL65" i="38"/>
  <c r="F65" i="38"/>
  <c r="AE65" i="38"/>
  <c r="AA65" i="38"/>
  <c r="U65" i="38"/>
  <c r="T65" i="38"/>
  <c r="AI65" i="38"/>
  <c r="AF65" i="38"/>
  <c r="J65" i="38"/>
  <c r="E65" i="38"/>
  <c r="V65" i="38"/>
  <c r="AS65" i="38"/>
  <c r="AP54" i="1"/>
  <c r="I54" i="1"/>
  <c r="AN47" i="1"/>
  <c r="L47" i="1"/>
  <c r="F47" i="1"/>
  <c r="W58" i="1"/>
  <c r="O42" i="1"/>
  <c r="AJ59" i="1"/>
  <c r="AL59" i="1"/>
  <c r="AA54" i="1"/>
  <c r="N58" i="1"/>
  <c r="AE42" i="1"/>
  <c r="AT46" i="1"/>
  <c r="N42" i="1"/>
  <c r="J55" i="1"/>
  <c r="H55" i="1"/>
  <c r="Q55" i="1"/>
  <c r="AK55" i="1"/>
  <c r="AP55" i="1"/>
  <c r="N55" i="1"/>
  <c r="K55" i="1"/>
  <c r="AH55" i="1"/>
  <c r="AR55" i="1"/>
  <c r="AM55" i="1"/>
  <c r="AQ43" i="1"/>
  <c r="H43" i="1"/>
  <c r="K43" i="1"/>
  <c r="U43" i="1"/>
  <c r="AL43" i="1"/>
  <c r="Y43" i="1"/>
  <c r="M43" i="1"/>
  <c r="F42" i="56"/>
  <c r="AE42" i="56"/>
  <c r="H43" i="56"/>
  <c r="AR43" i="56"/>
  <c r="AS44" i="56"/>
  <c r="R46" i="56"/>
  <c r="AM46" i="56"/>
  <c r="L48" i="56"/>
  <c r="AL48" i="56"/>
  <c r="X49" i="56"/>
  <c r="L51" i="56"/>
  <c r="AN51" i="56"/>
  <c r="AR54" i="56"/>
  <c r="AA54" i="56"/>
  <c r="P55" i="56"/>
  <c r="AN55" i="56"/>
  <c r="AH57" i="56"/>
  <c r="AF59" i="56"/>
  <c r="P61" i="56"/>
  <c r="AL64" i="56"/>
  <c r="S65" i="56"/>
  <c r="AU65" i="56"/>
  <c r="N41" i="53"/>
  <c r="AN41" i="53"/>
  <c r="AN42" i="53"/>
  <c r="K48" i="53"/>
  <c r="K49" i="53"/>
  <c r="AO49" i="53"/>
  <c r="I53" i="53"/>
  <c r="AJ53" i="53"/>
  <c r="I55" i="53"/>
  <c r="R58" i="53"/>
  <c r="AS58" i="53"/>
  <c r="N65" i="53"/>
  <c r="AR43" i="52"/>
  <c r="P46" i="52"/>
  <c r="AR48" i="52"/>
  <c r="AM48" i="52"/>
  <c r="R48" i="52"/>
  <c r="V48" i="52"/>
  <c r="AT48" i="52"/>
  <c r="S48" i="52"/>
  <c r="AU48" i="52"/>
  <c r="J48" i="52"/>
  <c r="AL48" i="52"/>
  <c r="H48" i="52"/>
  <c r="AJ48" i="52"/>
  <c r="G48" i="52"/>
  <c r="AN48" i="52"/>
  <c r="AR53" i="52"/>
  <c r="I55" i="52"/>
  <c r="AM62" i="52"/>
  <c r="W46" i="51"/>
  <c r="T49" i="51"/>
  <c r="T50" i="51"/>
  <c r="X61" i="51"/>
  <c r="AS63" i="51"/>
  <c r="V45" i="49"/>
  <c r="P45" i="49"/>
  <c r="Q45" i="49"/>
  <c r="AN45" i="49"/>
  <c r="AO45" i="49"/>
  <c r="AE48" i="49"/>
  <c r="AJ49" i="49"/>
  <c r="P51" i="49"/>
  <c r="T53" i="49"/>
  <c r="W55" i="49"/>
  <c r="W56" i="49"/>
  <c r="AK62" i="49"/>
  <c r="Y66" i="49"/>
  <c r="AI43" i="48"/>
  <c r="H46" i="48"/>
  <c r="AF54" i="48"/>
  <c r="Y54" i="48"/>
  <c r="X54" i="48"/>
  <c r="AR60" i="48"/>
  <c r="U43" i="46"/>
  <c r="V49" i="46"/>
  <c r="AF41" i="47"/>
  <c r="R46" i="47"/>
  <c r="I53" i="47"/>
  <c r="S41" i="43"/>
  <c r="H50" i="43"/>
  <c r="AO44" i="39"/>
  <c r="G59" i="56"/>
  <c r="AK60" i="56"/>
  <c r="AG65" i="56"/>
  <c r="Q52" i="56"/>
  <c r="AD55" i="56"/>
  <c r="AH65" i="56"/>
  <c r="N53" i="52"/>
  <c r="AQ58" i="52"/>
  <c r="AJ58" i="52"/>
  <c r="R58" i="52"/>
  <c r="AI58" i="52"/>
  <c r="L58" i="52"/>
  <c r="AE58" i="52"/>
  <c r="I58" i="52"/>
  <c r="AU58" i="52"/>
  <c r="V58" i="52"/>
  <c r="AR58" i="52"/>
  <c r="T58" i="52"/>
  <c r="AO58" i="52"/>
  <c r="S58" i="52"/>
  <c r="AO46" i="51"/>
  <c r="M61" i="51"/>
  <c r="L63" i="51"/>
  <c r="AH53" i="48"/>
  <c r="AG53" i="48"/>
  <c r="T53" i="48"/>
  <c r="S53" i="48"/>
  <c r="Q53" i="48"/>
  <c r="Y53" i="48"/>
  <c r="K53" i="48"/>
  <c r="H53" i="48"/>
  <c r="AM53" i="48"/>
  <c r="AK53" i="48"/>
  <c r="AJ53" i="48"/>
  <c r="P54" i="46"/>
  <c r="J62" i="43"/>
  <c r="U44" i="56"/>
  <c r="R52" i="56"/>
  <c r="H55" i="56"/>
  <c r="AG55" i="56"/>
  <c r="N57" i="56"/>
  <c r="AM61" i="56"/>
  <c r="AI65" i="56"/>
  <c r="H41" i="53"/>
  <c r="L42" i="53"/>
  <c r="V43" i="53"/>
  <c r="AP65" i="53"/>
  <c r="AL65" i="53"/>
  <c r="V65" i="53"/>
  <c r="H65" i="53"/>
  <c r="AQ65" i="53"/>
  <c r="X65" i="53"/>
  <c r="I65" i="53"/>
  <c r="AK65" i="53"/>
  <c r="T65" i="53"/>
  <c r="E65" i="53"/>
  <c r="AJ65" i="53"/>
  <c r="Q65" i="53"/>
  <c r="AH65" i="53"/>
  <c r="M65" i="53"/>
  <c r="AG65" i="53"/>
  <c r="L65" i="53"/>
  <c r="N43" i="52"/>
  <c r="AL49" i="51"/>
  <c r="N54" i="51"/>
  <c r="AR61" i="51"/>
  <c r="AO53" i="49"/>
  <c r="AU47" i="1"/>
  <c r="V47" i="1"/>
  <c r="Y59" i="1"/>
  <c r="AU59" i="1"/>
  <c r="AO54" i="1"/>
  <c r="AE54" i="1"/>
  <c r="AU54" i="1"/>
  <c r="P54" i="1"/>
  <c r="Y54" i="1"/>
  <c r="AJ54" i="1"/>
  <c r="AL54" i="1"/>
  <c r="AF54" i="1"/>
  <c r="K54" i="1"/>
  <c r="Z42" i="1"/>
  <c r="V42" i="1"/>
  <c r="AI42" i="1"/>
  <c r="AG42" i="1"/>
  <c r="I42" i="1"/>
  <c r="AJ42" i="1"/>
  <c r="E42" i="1"/>
  <c r="AL42" i="1"/>
  <c r="AN42" i="1"/>
  <c r="AT42" i="1"/>
  <c r="Q42" i="1"/>
  <c r="AK42" i="1"/>
  <c r="S46" i="56"/>
  <c r="AN46" i="56"/>
  <c r="O48" i="56"/>
  <c r="AM48" i="56"/>
  <c r="AM49" i="56"/>
  <c r="M51" i="56"/>
  <c r="AR51" i="56"/>
  <c r="R55" i="56"/>
  <c r="AQ55" i="56"/>
  <c r="AI57" i="56"/>
  <c r="AG59" i="56"/>
  <c r="Y61" i="56"/>
  <c r="AM64" i="56"/>
  <c r="T65" i="56"/>
  <c r="O41" i="53"/>
  <c r="AO41" i="53"/>
  <c r="AP42" i="53"/>
  <c r="I50" i="53"/>
  <c r="V50" i="53"/>
  <c r="Q50" i="53"/>
  <c r="J50" i="53"/>
  <c r="T58" i="53"/>
  <c r="AT58" i="53"/>
  <c r="AI63" i="53"/>
  <c r="AH63" i="53"/>
  <c r="R65" i="53"/>
  <c r="AS65" i="53"/>
  <c r="AR44" i="52"/>
  <c r="AK44" i="52"/>
  <c r="M44" i="52"/>
  <c r="AH44" i="52"/>
  <c r="I44" i="52"/>
  <c r="X44" i="52"/>
  <c r="F44" i="52"/>
  <c r="W44" i="52"/>
  <c r="U44" i="52"/>
  <c r="AU44" i="52"/>
  <c r="T44" i="52"/>
  <c r="AL44" i="52"/>
  <c r="P58" i="52"/>
  <c r="AO60" i="52"/>
  <c r="O60" i="52"/>
  <c r="AD60" i="52"/>
  <c r="P60" i="52"/>
  <c r="J63" i="52"/>
  <c r="AO63" i="52"/>
  <c r="F63" i="52"/>
  <c r="AK63" i="52"/>
  <c r="W63" i="52"/>
  <c r="AL63" i="52"/>
  <c r="AJ63" i="52"/>
  <c r="X46" i="51"/>
  <c r="U49" i="51"/>
  <c r="AS55" i="51"/>
  <c r="AG55" i="51"/>
  <c r="Y61" i="51"/>
  <c r="AT63" i="51"/>
  <c r="AG48" i="49"/>
  <c r="AL49" i="49"/>
  <c r="V53" i="49"/>
  <c r="AF55" i="49"/>
  <c r="Z56" i="49"/>
  <c r="AL62" i="49"/>
  <c r="AD66" i="49"/>
  <c r="AK43" i="48"/>
  <c r="I46" i="48"/>
  <c r="AP65" i="48"/>
  <c r="AQ65" i="48"/>
  <c r="W65" i="48"/>
  <c r="H65" i="48"/>
  <c r="AK65" i="48"/>
  <c r="T65" i="48"/>
  <c r="E65" i="48"/>
  <c r="AJ65" i="48"/>
  <c r="Q65" i="48"/>
  <c r="AI65" i="48"/>
  <c r="M65" i="48"/>
  <c r="AG65" i="48"/>
  <c r="K65" i="48"/>
  <c r="AF65" i="48"/>
  <c r="J65" i="48"/>
  <c r="AM65" i="48"/>
  <c r="G65" i="48"/>
  <c r="V65" i="48"/>
  <c r="S65" i="48"/>
  <c r="AS65" i="48"/>
  <c r="I65" i="48"/>
  <c r="Y65" i="48"/>
  <c r="U65" i="48"/>
  <c r="R65" i="48"/>
  <c r="AG43" i="46"/>
  <c r="W49" i="46"/>
  <c r="AG41" i="47"/>
  <c r="U46" i="47"/>
  <c r="AN48" i="40"/>
  <c r="AE48" i="40"/>
  <c r="Z48" i="40"/>
  <c r="X48" i="40"/>
  <c r="AP48" i="40"/>
  <c r="AO48" i="40"/>
  <c r="AD48" i="40"/>
  <c r="AA48" i="40"/>
  <c r="AM48" i="40"/>
  <c r="P48" i="40"/>
  <c r="N48" i="40"/>
  <c r="M48" i="40"/>
  <c r="O48" i="40"/>
  <c r="AH54" i="1"/>
  <c r="AQ42" i="1"/>
  <c r="AJ47" i="1"/>
  <c r="AN46" i="1"/>
  <c r="AL47" i="1"/>
  <c r="Y47" i="1"/>
  <c r="F58" i="1"/>
  <c r="AS42" i="1"/>
  <c r="H59" i="1"/>
  <c r="AF59" i="1"/>
  <c r="Z54" i="1"/>
  <c r="E54" i="1"/>
  <c r="AP58" i="1"/>
  <c r="J42" i="1"/>
  <c r="M42" i="1"/>
  <c r="AF53" i="1"/>
  <c r="AN53" i="1"/>
  <c r="AQ53" i="1"/>
  <c r="H42" i="56"/>
  <c r="AH42" i="56"/>
  <c r="N43" i="56"/>
  <c r="AT43" i="56"/>
  <c r="T46" i="56"/>
  <c r="AQ46" i="56"/>
  <c r="R48" i="56"/>
  <c r="AO48" i="56"/>
  <c r="AQ49" i="56"/>
  <c r="N51" i="56"/>
  <c r="AS51" i="56"/>
  <c r="T55" i="56"/>
  <c r="AU55" i="56"/>
  <c r="AR57" i="56"/>
  <c r="AH59" i="56"/>
  <c r="AA61" i="56"/>
  <c r="AN64" i="56"/>
  <c r="Y65" i="56"/>
  <c r="AJ66" i="56"/>
  <c r="K66" i="56"/>
  <c r="Z66" i="56"/>
  <c r="F66" i="56"/>
  <c r="V66" i="56"/>
  <c r="R66" i="56"/>
  <c r="AO66" i="56"/>
  <c r="Q66" i="56"/>
  <c r="AL66" i="56"/>
  <c r="T41" i="53"/>
  <c r="AQ41" i="53"/>
  <c r="AQ42" i="53"/>
  <c r="M45" i="53"/>
  <c r="T48" i="53"/>
  <c r="P49" i="53"/>
  <c r="H50" i="53"/>
  <c r="M53" i="53"/>
  <c r="AL53" i="53"/>
  <c r="V55" i="53"/>
  <c r="V58" i="53"/>
  <c r="S65" i="53"/>
  <c r="AT65" i="53"/>
  <c r="G44" i="52"/>
  <c r="AM44" i="52"/>
  <c r="AE46" i="52"/>
  <c r="X55" i="52"/>
  <c r="U58" i="52"/>
  <c r="N60" i="52"/>
  <c r="G63" i="52"/>
  <c r="AP41" i="51"/>
  <c r="AJ41" i="51"/>
  <c r="T41" i="51"/>
  <c r="F41" i="51"/>
  <c r="AQ41" i="51"/>
  <c r="X41" i="51"/>
  <c r="I41" i="51"/>
  <c r="AM41" i="51"/>
  <c r="V41" i="51"/>
  <c r="G41" i="51"/>
  <c r="AI41" i="51"/>
  <c r="R41" i="51"/>
  <c r="AH41" i="51"/>
  <c r="L41" i="51"/>
  <c r="AF41" i="51"/>
  <c r="J41" i="51"/>
  <c r="AE41" i="51"/>
  <c r="H41" i="51"/>
  <c r="AK41" i="51"/>
  <c r="Z46" i="51"/>
  <c r="V49" i="51"/>
  <c r="AE56" i="51"/>
  <c r="AL56" i="51"/>
  <c r="T56" i="51"/>
  <c r="Q56" i="51"/>
  <c r="AH61" i="51"/>
  <c r="AL64" i="51"/>
  <c r="O64" i="51"/>
  <c r="Q64" i="51"/>
  <c r="E64" i="51"/>
  <c r="AI64" i="51"/>
  <c r="AN64" i="51"/>
  <c r="AF64" i="51"/>
  <c r="AM48" i="49"/>
  <c r="AM49" i="49"/>
  <c r="S51" i="49"/>
  <c r="W53" i="49"/>
  <c r="AL55" i="49"/>
  <c r="AE56" i="49"/>
  <c r="AR62" i="49"/>
  <c r="AE66" i="49"/>
  <c r="I44" i="48"/>
  <c r="H44" i="48"/>
  <c r="W44" i="48"/>
  <c r="S46" i="48"/>
  <c r="F65" i="48"/>
  <c r="AN43" i="46"/>
  <c r="Y49" i="46"/>
  <c r="U66" i="46"/>
  <c r="R66" i="46"/>
  <c r="AI41" i="47"/>
  <c r="Z46" i="47"/>
  <c r="U53" i="47"/>
  <c r="AQ41" i="43"/>
  <c r="AF50" i="43"/>
  <c r="J48" i="40"/>
  <c r="AR62" i="40"/>
  <c r="AQ62" i="40"/>
  <c r="V62" i="40"/>
  <c r="AN62" i="40"/>
  <c r="N62" i="40"/>
  <c r="AM62" i="40"/>
  <c r="M62" i="40"/>
  <c r="Y62" i="40"/>
  <c r="X62" i="40"/>
  <c r="O62" i="40"/>
  <c r="L62" i="40"/>
  <c r="S62" i="40"/>
  <c r="K62" i="40"/>
  <c r="G62" i="40"/>
  <c r="F62" i="40"/>
  <c r="AD62" i="40"/>
  <c r="H62" i="40"/>
  <c r="AO62" i="40"/>
  <c r="AH62" i="40"/>
  <c r="AA62" i="40"/>
  <c r="AQ41" i="56"/>
  <c r="AU41" i="56"/>
  <c r="AD41" i="56"/>
  <c r="U46" i="53"/>
  <c r="AM52" i="53"/>
  <c r="X52" i="53"/>
  <c r="AS47" i="52"/>
  <c r="AO47" i="52"/>
  <c r="W47" i="52"/>
  <c r="E47" i="52"/>
  <c r="AU47" i="52"/>
  <c r="Y47" i="52"/>
  <c r="H47" i="52"/>
  <c r="AN47" i="52"/>
  <c r="U47" i="52"/>
  <c r="AA47" i="52"/>
  <c r="AL50" i="52"/>
  <c r="V50" i="52"/>
  <c r="G50" i="52"/>
  <c r="AJ50" i="52"/>
  <c r="R50" i="52"/>
  <c r="AE50" i="52"/>
  <c r="N50" i="52"/>
  <c r="W50" i="52"/>
  <c r="AP50" i="52"/>
  <c r="U57" i="52"/>
  <c r="V61" i="52"/>
  <c r="AS48" i="51"/>
  <c r="V48" i="51"/>
  <c r="AI48" i="51"/>
  <c r="U48" i="51"/>
  <c r="Q48" i="51"/>
  <c r="AP65" i="49"/>
  <c r="AU65" i="49"/>
  <c r="AH65" i="49"/>
  <c r="S65" i="49"/>
  <c r="F65" i="49"/>
  <c r="AT65" i="49"/>
  <c r="AG65" i="49"/>
  <c r="R65" i="49"/>
  <c r="E65" i="49"/>
  <c r="AQ65" i="49"/>
  <c r="AA65" i="49"/>
  <c r="N65" i="49"/>
  <c r="AI65" i="49"/>
  <c r="M65" i="49"/>
  <c r="AO65" i="49"/>
  <c r="V65" i="49"/>
  <c r="AM65" i="49"/>
  <c r="T65" i="49"/>
  <c r="AJ65" i="49"/>
  <c r="L65" i="49"/>
  <c r="Z65" i="49"/>
  <c r="AP57" i="48"/>
  <c r="Y57" i="48"/>
  <c r="AN46" i="43"/>
  <c r="W46" i="43"/>
  <c r="I46" i="43"/>
  <c r="AL46" i="43"/>
  <c r="V46" i="43"/>
  <c r="H46" i="43"/>
  <c r="AJ46" i="43"/>
  <c r="T46" i="43"/>
  <c r="F46" i="43"/>
  <c r="AI46" i="43"/>
  <c r="S46" i="43"/>
  <c r="E46" i="43"/>
  <c r="AP46" i="43"/>
  <c r="P46" i="43"/>
  <c r="AO46" i="43"/>
  <c r="O46" i="43"/>
  <c r="AH46" i="43"/>
  <c r="L46" i="43"/>
  <c r="AG46" i="43"/>
  <c r="K46" i="43"/>
  <c r="AD46" i="43"/>
  <c r="AQ46" i="43"/>
  <c r="AE46" i="43"/>
  <c r="X46" i="43"/>
  <c r="AK66" i="43"/>
  <c r="T66" i="43"/>
  <c r="AF66" i="43"/>
  <c r="N66" i="43"/>
  <c r="AD66" i="43"/>
  <c r="M66" i="43"/>
  <c r="AO66" i="43"/>
  <c r="U66" i="43"/>
  <c r="AN66" i="43"/>
  <c r="P66" i="43"/>
  <c r="AL66" i="43"/>
  <c r="L66" i="43"/>
  <c r="AJ66" i="43"/>
  <c r="K66" i="43"/>
  <c r="V66" i="43"/>
  <c r="O66" i="43"/>
  <c r="AR66" i="43"/>
  <c r="I66" i="43"/>
  <c r="AP66" i="43"/>
  <c r="H66" i="43"/>
  <c r="Z66" i="43"/>
  <c r="AS66" i="43"/>
  <c r="AA66" i="43"/>
  <c r="AQ46" i="40"/>
  <c r="X46" i="40"/>
  <c r="G46" i="40"/>
  <c r="AP46" i="40"/>
  <c r="U46" i="40"/>
  <c r="AN46" i="40"/>
  <c r="T46" i="40"/>
  <c r="AT46" i="40"/>
  <c r="P46" i="40"/>
  <c r="AR46" i="40"/>
  <c r="N46" i="40"/>
  <c r="AK46" i="40"/>
  <c r="J46" i="40"/>
  <c r="AJ46" i="40"/>
  <c r="I46" i="40"/>
  <c r="AA46" i="40"/>
  <c r="W46" i="40"/>
  <c r="R46" i="40"/>
  <c r="K46" i="40"/>
  <c r="AI46" i="40"/>
  <c r="AE46" i="40"/>
  <c r="E46" i="40"/>
  <c r="N45" i="38"/>
  <c r="M45" i="38"/>
  <c r="AN45" i="38"/>
  <c r="AM45" i="38"/>
  <c r="AQ46" i="53"/>
  <c r="AJ46" i="53"/>
  <c r="T46" i="53"/>
  <c r="F46" i="53"/>
  <c r="AU46" i="53"/>
  <c r="AG46" i="53"/>
  <c r="O46" i="53"/>
  <c r="V46" i="53"/>
  <c r="AN46" i="53"/>
  <c r="AU57" i="52"/>
  <c r="AE57" i="52"/>
  <c r="O57" i="52"/>
  <c r="AP57" i="52"/>
  <c r="Y57" i="52"/>
  <c r="J57" i="52"/>
  <c r="AM57" i="52"/>
  <c r="V57" i="52"/>
  <c r="F57" i="52"/>
  <c r="W57" i="52"/>
  <c r="AQ57" i="52"/>
  <c r="AP61" i="52"/>
  <c r="AI61" i="52"/>
  <c r="T61" i="52"/>
  <c r="G61" i="52"/>
  <c r="AO61" i="52"/>
  <c r="Y61" i="52"/>
  <c r="K61" i="52"/>
  <c r="AM61" i="52"/>
  <c r="W61" i="52"/>
  <c r="I61" i="52"/>
  <c r="AJ61" i="52"/>
  <c r="S61" i="52"/>
  <c r="E61" i="52"/>
  <c r="X61" i="52"/>
  <c r="AS61" i="52"/>
  <c r="G51" i="51"/>
  <c r="AI51" i="51"/>
  <c r="T51" i="51"/>
  <c r="H51" i="51"/>
  <c r="AO46" i="49"/>
  <c r="S46" i="49"/>
  <c r="AL46" i="49"/>
  <c r="L46" i="49"/>
  <c r="T46" i="49"/>
  <c r="K46" i="49"/>
  <c r="AU46" i="49"/>
  <c r="I46" i="49"/>
  <c r="AI46" i="49"/>
  <c r="Q41" i="48"/>
  <c r="P41" i="48"/>
  <c r="R41" i="48"/>
  <c r="AI41" i="48"/>
  <c r="AF53" i="43"/>
  <c r="K53" i="43"/>
  <c r="AP53" i="43"/>
  <c r="W53" i="43"/>
  <c r="G53" i="43"/>
  <c r="Z53" i="43"/>
  <c r="F53" i="43"/>
  <c r="AU53" i="43"/>
  <c r="Y53" i="43"/>
  <c r="E53" i="43"/>
  <c r="AS53" i="43"/>
  <c r="U53" i="43"/>
  <c r="AO53" i="43"/>
  <c r="T53" i="43"/>
  <c r="N53" i="43"/>
  <c r="AT53" i="43"/>
  <c r="M53" i="43"/>
  <c r="AM53" i="43"/>
  <c r="I53" i="43"/>
  <c r="AK53" i="43"/>
  <c r="H53" i="43"/>
  <c r="R53" i="43"/>
  <c r="J53" i="43"/>
  <c r="AI43" i="40"/>
  <c r="R43" i="40"/>
  <c r="AU43" i="40"/>
  <c r="AE43" i="40"/>
  <c r="N43" i="40"/>
  <c r="AT43" i="40"/>
  <c r="AD43" i="40"/>
  <c r="M43" i="40"/>
  <c r="Z43" i="40"/>
  <c r="F43" i="40"/>
  <c r="Y43" i="40"/>
  <c r="E43" i="40"/>
  <c r="AQ43" i="40"/>
  <c r="U43" i="40"/>
  <c r="AP43" i="40"/>
  <c r="T43" i="40"/>
  <c r="O43" i="40"/>
  <c r="AR43" i="40"/>
  <c r="L43" i="40"/>
  <c r="AN43" i="40"/>
  <c r="H43" i="40"/>
  <c r="AL43" i="40"/>
  <c r="G43" i="40"/>
  <c r="P43" i="40"/>
  <c r="AO43" i="40"/>
  <c r="AH43" i="40"/>
  <c r="W43" i="40"/>
  <c r="R51" i="1"/>
  <c r="T63" i="56"/>
  <c r="AN63" i="56"/>
  <c r="AK63" i="56"/>
  <c r="H46" i="53"/>
  <c r="X46" i="53"/>
  <c r="AR46" i="53"/>
  <c r="AQ42" i="52"/>
  <c r="AT42" i="52"/>
  <c r="J42" i="52"/>
  <c r="AF42" i="52"/>
  <c r="T42" i="52"/>
  <c r="AJ42" i="52"/>
  <c r="G57" i="52"/>
  <c r="Z57" i="52"/>
  <c r="H61" i="52"/>
  <c r="AA61" i="52"/>
  <c r="AU61" i="52"/>
  <c r="AR43" i="51"/>
  <c r="AG43" i="51"/>
  <c r="L43" i="51"/>
  <c r="AP43" i="51"/>
  <c r="W43" i="51"/>
  <c r="E43" i="51"/>
  <c r="AN43" i="51"/>
  <c r="T43" i="51"/>
  <c r="AK43" i="51"/>
  <c r="N43" i="51"/>
  <c r="Z43" i="51"/>
  <c r="M51" i="51"/>
  <c r="M46" i="49"/>
  <c r="AU63" i="49"/>
  <c r="AS63" i="49"/>
  <c r="AD63" i="49"/>
  <c r="N63" i="49"/>
  <c r="AO63" i="49"/>
  <c r="Y63" i="49"/>
  <c r="K63" i="49"/>
  <c r="Z63" i="49"/>
  <c r="I63" i="49"/>
  <c r="AE63" i="49"/>
  <c r="J63" i="49"/>
  <c r="X63" i="49"/>
  <c r="G63" i="49"/>
  <c r="AN63" i="49"/>
  <c r="U63" i="49"/>
  <c r="AH63" i="49"/>
  <c r="AF41" i="48"/>
  <c r="AU57" i="48"/>
  <c r="AS51" i="46"/>
  <c r="AO51" i="46"/>
  <c r="AJ51" i="46"/>
  <c r="U51" i="46"/>
  <c r="S51" i="46"/>
  <c r="R51" i="46"/>
  <c r="AT51" i="46"/>
  <c r="T51" i="46"/>
  <c r="AD60" i="46"/>
  <c r="W60" i="46"/>
  <c r="AU60" i="46"/>
  <c r="AT60" i="46"/>
  <c r="AR60" i="46"/>
  <c r="AQ60" i="46"/>
  <c r="AS60" i="46"/>
  <c r="X60" i="46"/>
  <c r="S43" i="47"/>
  <c r="AT43" i="47"/>
  <c r="AN43" i="47"/>
  <c r="AL43" i="47"/>
  <c r="N46" i="43"/>
  <c r="V53" i="43"/>
  <c r="W66" i="43"/>
  <c r="S43" i="40"/>
  <c r="AG46" i="40"/>
  <c r="P50" i="56"/>
  <c r="AH50" i="56"/>
  <c r="Q56" i="56"/>
  <c r="AM56" i="56"/>
  <c r="M58" i="56"/>
  <c r="Z58" i="56"/>
  <c r="AO58" i="56"/>
  <c r="AL45" i="52"/>
  <c r="J45" i="52"/>
  <c r="AG45" i="52"/>
  <c r="N49" i="52"/>
  <c r="AE49" i="52"/>
  <c r="U54" i="52"/>
  <c r="M66" i="52"/>
  <c r="AF66" i="52"/>
  <c r="AU66" i="52"/>
  <c r="AP58" i="51"/>
  <c r="AQ58" i="51"/>
  <c r="Z58" i="51"/>
  <c r="K58" i="51"/>
  <c r="S58" i="51"/>
  <c r="AJ58" i="51"/>
  <c r="X60" i="51"/>
  <c r="AM60" i="51"/>
  <c r="G60" i="51"/>
  <c r="AI60" i="51"/>
  <c r="AJ62" i="51"/>
  <c r="AA62" i="51"/>
  <c r="F62" i="51"/>
  <c r="AS62" i="51"/>
  <c r="V62" i="51"/>
  <c r="AD62" i="51"/>
  <c r="R66" i="51"/>
  <c r="AF41" i="49"/>
  <c r="K41" i="49"/>
  <c r="AS41" i="49"/>
  <c r="X41" i="49"/>
  <c r="H41" i="49"/>
  <c r="AD41" i="49"/>
  <c r="F41" i="49"/>
  <c r="W41" i="49"/>
  <c r="AI44" i="49"/>
  <c r="N44" i="49"/>
  <c r="AE44" i="49"/>
  <c r="H44" i="49"/>
  <c r="AA44" i="49"/>
  <c r="AH44" i="49"/>
  <c r="AQ45" i="48"/>
  <c r="AP45" i="48"/>
  <c r="AN45" i="48"/>
  <c r="X45" i="48"/>
  <c r="V62" i="48"/>
  <c r="AP62" i="48"/>
  <c r="I62" i="48"/>
  <c r="AJ62" i="48"/>
  <c r="F62" i="48"/>
  <c r="AA62" i="48"/>
  <c r="U62" i="48"/>
  <c r="S62" i="48"/>
  <c r="R62" i="48"/>
  <c r="G62" i="48"/>
  <c r="AM64" i="48"/>
  <c r="T64" i="48"/>
  <c r="AQ64" i="48"/>
  <c r="AP64" i="48"/>
  <c r="AN64" i="48"/>
  <c r="Y64" i="48"/>
  <c r="H64" i="48"/>
  <c r="AM48" i="46"/>
  <c r="R48" i="46"/>
  <c r="AP48" i="46"/>
  <c r="AO48" i="46"/>
  <c r="S48" i="46"/>
  <c r="Q48" i="46"/>
  <c r="AP54" i="39"/>
  <c r="W54" i="39"/>
  <c r="AN54" i="39"/>
  <c r="P54" i="39"/>
  <c r="AM54" i="39"/>
  <c r="O54" i="39"/>
  <c r="Y54" i="39"/>
  <c r="X54" i="39"/>
  <c r="AR54" i="39"/>
  <c r="N54" i="39"/>
  <c r="AQ54" i="39"/>
  <c r="M54" i="39"/>
  <c r="AK54" i="39"/>
  <c r="AE54" i="39"/>
  <c r="AA54" i="39"/>
  <c r="Z54" i="39"/>
  <c r="AD54" i="39"/>
  <c r="V54" i="39"/>
  <c r="K54" i="39"/>
  <c r="J54" i="39"/>
  <c r="AR43" i="38"/>
  <c r="AL43" i="38"/>
  <c r="N43" i="38"/>
  <c r="AJ43" i="38"/>
  <c r="M43" i="38"/>
  <c r="AO43" i="38"/>
  <c r="S43" i="38"/>
  <c r="AM43" i="38"/>
  <c r="J43" i="38"/>
  <c r="AI43" i="38"/>
  <c r="I43" i="38"/>
  <c r="Z43" i="38"/>
  <c r="Y43" i="38"/>
  <c r="V43" i="38"/>
  <c r="U43" i="38"/>
  <c r="AP43" i="38"/>
  <c r="AN43" i="38"/>
  <c r="AA43" i="38"/>
  <c r="X43" i="38"/>
  <c r="G43" i="38"/>
  <c r="F43" i="38"/>
  <c r="AU43" i="38"/>
  <c r="U54" i="35"/>
  <c r="AD54" i="35"/>
  <c r="Y63" i="35"/>
  <c r="W63" i="35"/>
  <c r="V63" i="35"/>
  <c r="T63" i="35"/>
  <c r="S63" i="35"/>
  <c r="G63" i="35"/>
  <c r="AU63" i="35"/>
  <c r="F63" i="35"/>
  <c r="AN63" i="35"/>
  <c r="AL63" i="35"/>
  <c r="AT63" i="35"/>
  <c r="AK63" i="35"/>
  <c r="AH63" i="35"/>
  <c r="R63" i="35"/>
  <c r="L63" i="35"/>
  <c r="J63" i="35"/>
  <c r="I63" i="35"/>
  <c r="T50" i="56"/>
  <c r="W56" i="56"/>
  <c r="Q58" i="56"/>
  <c r="AF58" i="56"/>
  <c r="AS58" i="56"/>
  <c r="J57" i="53"/>
  <c r="J60" i="53"/>
  <c r="G45" i="52"/>
  <c r="AK45" i="52"/>
  <c r="AP49" i="52"/>
  <c r="AM49" i="52"/>
  <c r="X49" i="52"/>
  <c r="K49" i="52"/>
  <c r="R49" i="52"/>
  <c r="AH49" i="52"/>
  <c r="AS54" i="52"/>
  <c r="AM54" i="52"/>
  <c r="T54" i="52"/>
  <c r="X54" i="52"/>
  <c r="R66" i="52"/>
  <c r="G58" i="51"/>
  <c r="V58" i="51"/>
  <c r="AN58" i="51"/>
  <c r="H60" i="51"/>
  <c r="AQ60" i="51"/>
  <c r="H62" i="51"/>
  <c r="AG62" i="51"/>
  <c r="AP65" i="51"/>
  <c r="AR65" i="51"/>
  <c r="Y65" i="51"/>
  <c r="AM65" i="51"/>
  <c r="U65" i="51"/>
  <c r="F65" i="51"/>
  <c r="AU65" i="51"/>
  <c r="Z65" i="51"/>
  <c r="H65" i="51"/>
  <c r="V65" i="51"/>
  <c r="AT65" i="51"/>
  <c r="I41" i="49"/>
  <c r="AH41" i="49"/>
  <c r="M44" i="49"/>
  <c r="AO44" i="49"/>
  <c r="AT64" i="49"/>
  <c r="AE64" i="49"/>
  <c r="T64" i="49"/>
  <c r="AR64" i="49"/>
  <c r="Q64" i="49"/>
  <c r="AI64" i="49"/>
  <c r="AL64" i="49"/>
  <c r="T45" i="48"/>
  <c r="T48" i="48"/>
  <c r="S48" i="48"/>
  <c r="Q48" i="48"/>
  <c r="AO48" i="48"/>
  <c r="K48" i="48"/>
  <c r="I48" i="48"/>
  <c r="Q62" i="48"/>
  <c r="N64" i="48"/>
  <c r="AQ48" i="46"/>
  <c r="AK61" i="46"/>
  <c r="AN61" i="46"/>
  <c r="N61" i="46"/>
  <c r="AE61" i="46"/>
  <c r="K61" i="46"/>
  <c r="AA61" i="46"/>
  <c r="Z61" i="46"/>
  <c r="X61" i="46"/>
  <c r="AU61" i="46"/>
  <c r="Q61" i="46"/>
  <c r="AO61" i="46"/>
  <c r="AT61" i="46"/>
  <c r="V47" i="47"/>
  <c r="C47" i="47"/>
  <c r="AS47" i="47"/>
  <c r="AQ58" i="47"/>
  <c r="AL58" i="47"/>
  <c r="V58" i="47"/>
  <c r="I58" i="47"/>
  <c r="AI58" i="47"/>
  <c r="S58" i="47"/>
  <c r="F58" i="47"/>
  <c r="AK58" i="47"/>
  <c r="R58" i="47"/>
  <c r="C58" i="47"/>
  <c r="AJ58" i="47"/>
  <c r="Q58" i="47"/>
  <c r="AG58" i="47"/>
  <c r="N58" i="47"/>
  <c r="AF58" i="47"/>
  <c r="M58" i="47"/>
  <c r="AA58" i="47"/>
  <c r="G58" i="47"/>
  <c r="Z58" i="47"/>
  <c r="T43" i="38"/>
  <c r="AQ66" i="52"/>
  <c r="AJ66" i="52"/>
  <c r="T66" i="52"/>
  <c r="F66" i="52"/>
  <c r="U66" i="52"/>
  <c r="AL66" i="52"/>
  <c r="AL66" i="51"/>
  <c r="O66" i="51"/>
  <c r="AF66" i="51"/>
  <c r="L66" i="51"/>
  <c r="Y66" i="51"/>
  <c r="AD66" i="51"/>
  <c r="AI61" i="49"/>
  <c r="AR61" i="49"/>
  <c r="R61" i="49"/>
  <c r="AU51" i="43"/>
  <c r="AM51" i="43"/>
  <c r="O51" i="43"/>
  <c r="AG51" i="43"/>
  <c r="E51" i="43"/>
  <c r="T51" i="43"/>
  <c r="S51" i="43"/>
  <c r="Q51" i="43"/>
  <c r="AT51" i="43"/>
  <c r="P51" i="43"/>
  <c r="AF51" i="43"/>
  <c r="AE51" i="43"/>
  <c r="M51" i="43"/>
  <c r="L51" i="43"/>
  <c r="Z42" i="49"/>
  <c r="AQ42" i="49"/>
  <c r="Q42" i="49"/>
  <c r="AE42" i="49"/>
  <c r="AH58" i="49"/>
  <c r="Y58" i="49"/>
  <c r="R58" i="49"/>
  <c r="Z47" i="48"/>
  <c r="AM47" i="48"/>
  <c r="AL47" i="48"/>
  <c r="AJ47" i="48"/>
  <c r="V47" i="48"/>
  <c r="AP41" i="46"/>
  <c r="AQ41" i="46"/>
  <c r="AA41" i="46"/>
  <c r="N41" i="46"/>
  <c r="AM41" i="46"/>
  <c r="X41" i="46"/>
  <c r="K41" i="46"/>
  <c r="AH41" i="46"/>
  <c r="Q41" i="46"/>
  <c r="AG41" i="46"/>
  <c r="O41" i="46"/>
  <c r="AT41" i="46"/>
  <c r="AE41" i="46"/>
  <c r="L41" i="46"/>
  <c r="AS41" i="46"/>
  <c r="Z41" i="46"/>
  <c r="J41" i="46"/>
  <c r="W41" i="46"/>
  <c r="AP46" i="46"/>
  <c r="AJ46" i="46"/>
  <c r="U46" i="46"/>
  <c r="H46" i="46"/>
  <c r="AT46" i="46"/>
  <c r="AG46" i="46"/>
  <c r="R46" i="46"/>
  <c r="E46" i="46"/>
  <c r="AH46" i="46"/>
  <c r="O46" i="46"/>
  <c r="AF46" i="46"/>
  <c r="N46" i="46"/>
  <c r="AS46" i="46"/>
  <c r="AA46" i="46"/>
  <c r="L46" i="46"/>
  <c r="AR46" i="46"/>
  <c r="Z46" i="46"/>
  <c r="K46" i="46"/>
  <c r="Y46" i="46"/>
  <c r="AF52" i="46"/>
  <c r="W52" i="46"/>
  <c r="Y52" i="46"/>
  <c r="X52" i="46"/>
  <c r="P52" i="46"/>
  <c r="O52" i="46"/>
  <c r="AG44" i="47"/>
  <c r="S44" i="47"/>
  <c r="O44" i="47"/>
  <c r="C44" i="47"/>
  <c r="AS44" i="47"/>
  <c r="AP44" i="47"/>
  <c r="AO44" i="47"/>
  <c r="AN58" i="43"/>
  <c r="AT58" i="43"/>
  <c r="Z58" i="43"/>
  <c r="AP58" i="43"/>
  <c r="P58" i="43"/>
  <c r="AG58" i="43"/>
  <c r="H58" i="43"/>
  <c r="AF58" i="43"/>
  <c r="G58" i="43"/>
  <c r="AD58" i="43"/>
  <c r="AA58" i="43"/>
  <c r="AH58" i="43"/>
  <c r="AE58" i="43"/>
  <c r="R58" i="43"/>
  <c r="Q58" i="43"/>
  <c r="AP66" i="38"/>
  <c r="AD66" i="38"/>
  <c r="T66" i="38"/>
  <c r="Q66" i="38"/>
  <c r="P66" i="38"/>
  <c r="N66" i="38"/>
  <c r="M66" i="38"/>
  <c r="AM66" i="38"/>
  <c r="AL66" i="38"/>
  <c r="AJ66" i="38"/>
  <c r="AH66" i="38"/>
  <c r="AS44" i="35"/>
  <c r="Z44" i="35"/>
  <c r="Y44" i="35"/>
  <c r="AJ52" i="38"/>
  <c r="Z52" i="38"/>
  <c r="Y52" i="38"/>
  <c r="P52" i="38"/>
  <c r="O52" i="38"/>
  <c r="AQ52" i="38"/>
  <c r="M52" i="38"/>
  <c r="AP52" i="38"/>
  <c r="L52" i="38"/>
  <c r="AN52" i="38"/>
  <c r="AM52" i="38"/>
  <c r="AD52" i="38"/>
  <c r="AA52" i="38"/>
  <c r="AR52" i="38"/>
  <c r="AE52" i="38"/>
  <c r="X52" i="38"/>
  <c r="AK66" i="38"/>
  <c r="U50" i="49"/>
  <c r="AJ54" i="49"/>
  <c r="M51" i="48"/>
  <c r="AA51" i="48"/>
  <c r="AS51" i="48"/>
  <c r="AK52" i="48"/>
  <c r="M58" i="48"/>
  <c r="AE58" i="48"/>
  <c r="AS58" i="48"/>
  <c r="AQ63" i="48"/>
  <c r="AS63" i="48"/>
  <c r="AA63" i="48"/>
  <c r="M63" i="48"/>
  <c r="AN63" i="48"/>
  <c r="X63" i="48"/>
  <c r="J63" i="48"/>
  <c r="U63" i="48"/>
  <c r="AM63" i="48"/>
  <c r="AL66" i="48"/>
  <c r="AE66" i="48"/>
  <c r="V66" i="48"/>
  <c r="AL53" i="46"/>
  <c r="V53" i="46"/>
  <c r="H53" i="46"/>
  <c r="AI53" i="46"/>
  <c r="S53" i="46"/>
  <c r="E53" i="46"/>
  <c r="U53" i="46"/>
  <c r="AN53" i="46"/>
  <c r="R58" i="46"/>
  <c r="Y45" i="47"/>
  <c r="C49" i="47"/>
  <c r="W49" i="47"/>
  <c r="C51" i="47"/>
  <c r="C55" i="47"/>
  <c r="T55" i="47"/>
  <c r="AP57" i="47"/>
  <c r="Y57" i="47"/>
  <c r="H57" i="47"/>
  <c r="AM57" i="47"/>
  <c r="T57" i="47"/>
  <c r="E57" i="47"/>
  <c r="V57" i="47"/>
  <c r="AR57" i="47"/>
  <c r="V65" i="47"/>
  <c r="U42" i="40"/>
  <c r="AI57" i="40"/>
  <c r="U57" i="40"/>
  <c r="Q57" i="40"/>
  <c r="O57" i="40"/>
  <c r="U61" i="40"/>
  <c r="Q55" i="35"/>
  <c r="AS55" i="35"/>
  <c r="O55" i="35"/>
  <c r="AQ55" i="35"/>
  <c r="N55" i="35"/>
  <c r="AP55" i="35"/>
  <c r="K55" i="35"/>
  <c r="AK55" i="35"/>
  <c r="AD55" i="35"/>
  <c r="X55" i="35"/>
  <c r="W55" i="35"/>
  <c r="AN55" i="35"/>
  <c r="AA55" i="35"/>
  <c r="V55" i="35"/>
  <c r="AL55" i="35"/>
  <c r="AP58" i="46"/>
  <c r="AQ58" i="46"/>
  <c r="AA58" i="46"/>
  <c r="N58" i="46"/>
  <c r="AM58" i="46"/>
  <c r="X58" i="46"/>
  <c r="K58" i="46"/>
  <c r="S58" i="46"/>
  <c r="AJ58" i="46"/>
  <c r="X48" i="47"/>
  <c r="Q48" i="47"/>
  <c r="AP49" i="47"/>
  <c r="Y49" i="47"/>
  <c r="J49" i="47"/>
  <c r="AM49" i="47"/>
  <c r="V49" i="47"/>
  <c r="F49" i="47"/>
  <c r="X49" i="47"/>
  <c r="AR49" i="47"/>
  <c r="T51" i="47"/>
  <c r="AR51" i="47"/>
  <c r="P51" i="47"/>
  <c r="AN51" i="47"/>
  <c r="AU55" i="47"/>
  <c r="AF55" i="47"/>
  <c r="O55" i="47"/>
  <c r="AR55" i="47"/>
  <c r="AA55" i="47"/>
  <c r="J55" i="47"/>
  <c r="U55" i="47"/>
  <c r="AP55" i="47"/>
  <c r="AP65" i="47"/>
  <c r="AJ65" i="47"/>
  <c r="T65" i="47"/>
  <c r="F65" i="47"/>
  <c r="AI65" i="47"/>
  <c r="S65" i="47"/>
  <c r="E65" i="47"/>
  <c r="AU65" i="47"/>
  <c r="AG65" i="47"/>
  <c r="Q65" i="47"/>
  <c r="W65" i="47"/>
  <c r="AR65" i="47"/>
  <c r="AK57" i="43"/>
  <c r="AM57" i="43"/>
  <c r="AR57" i="43"/>
  <c r="AQ57" i="43"/>
  <c r="AT51" i="38"/>
  <c r="P51" i="38"/>
  <c r="AS51" i="38"/>
  <c r="N51" i="38"/>
  <c r="AG51" i="38"/>
  <c r="AE51" i="38"/>
  <c r="T51" i="38"/>
  <c r="S51" i="38"/>
  <c r="AQ51" i="38"/>
  <c r="AH51" i="38"/>
  <c r="R51" i="38"/>
  <c r="Q51" i="38"/>
  <c r="F51" i="38"/>
  <c r="E51" i="38"/>
  <c r="R58" i="48"/>
  <c r="AH58" i="48"/>
  <c r="AR53" i="46"/>
  <c r="F58" i="46"/>
  <c r="U58" i="46"/>
  <c r="AL58" i="46"/>
  <c r="P48" i="47"/>
  <c r="I49" i="47"/>
  <c r="AA49" i="47"/>
  <c r="AK50" i="47"/>
  <c r="T50" i="47"/>
  <c r="M51" i="47"/>
  <c r="AP51" i="47"/>
  <c r="F55" i="47"/>
  <c r="W55" i="47"/>
  <c r="AS55" i="47"/>
  <c r="I57" i="47"/>
  <c r="AD57" i="47"/>
  <c r="AU57" i="47"/>
  <c r="H65" i="47"/>
  <c r="Y65" i="47"/>
  <c r="AT65" i="47"/>
  <c r="AF43" i="43"/>
  <c r="AK43" i="43"/>
  <c r="AI43" i="43"/>
  <c r="U43" i="43"/>
  <c r="AT43" i="43"/>
  <c r="S57" i="43"/>
  <c r="S57" i="40"/>
  <c r="AR51" i="38"/>
  <c r="AG64" i="38"/>
  <c r="AN64" i="38"/>
  <c r="P64" i="38"/>
  <c r="AM64" i="38"/>
  <c r="O64" i="38"/>
  <c r="AR64" i="38"/>
  <c r="W64" i="38"/>
  <c r="AQ64" i="38"/>
  <c r="S64" i="38"/>
  <c r="AO64" i="38"/>
  <c r="M64" i="38"/>
  <c r="AK64" i="38"/>
  <c r="L64" i="38"/>
  <c r="AD64" i="38"/>
  <c r="AA64" i="38"/>
  <c r="Y64" i="38"/>
  <c r="X64" i="38"/>
  <c r="AE64" i="38"/>
  <c r="Z64" i="38"/>
  <c r="K64" i="38"/>
  <c r="J64" i="38"/>
  <c r="S51" i="48"/>
  <c r="AI51" i="48"/>
  <c r="AO52" i="48"/>
  <c r="E58" i="48"/>
  <c r="S58" i="48"/>
  <c r="AI58" i="48"/>
  <c r="I63" i="48"/>
  <c r="Z63" i="48"/>
  <c r="AU63" i="48"/>
  <c r="AR42" i="46"/>
  <c r="P42" i="46"/>
  <c r="AK42" i="46"/>
  <c r="M42" i="46"/>
  <c r="AG42" i="46"/>
  <c r="G58" i="46"/>
  <c r="V58" i="46"/>
  <c r="AN58" i="46"/>
  <c r="AN45" i="47"/>
  <c r="M45" i="47"/>
  <c r="AF45" i="47"/>
  <c r="C45" i="47"/>
  <c r="AO45" i="47"/>
  <c r="R48" i="47"/>
  <c r="K49" i="47"/>
  <c r="AD49" i="47"/>
  <c r="N51" i="47"/>
  <c r="AS51" i="47"/>
  <c r="G55" i="47"/>
  <c r="X55" i="47"/>
  <c r="AT55" i="47"/>
  <c r="I65" i="47"/>
  <c r="Z65" i="47"/>
  <c r="U57" i="43"/>
  <c r="AQ42" i="40"/>
  <c r="AH42" i="40"/>
  <c r="S42" i="40"/>
  <c r="F42" i="40"/>
  <c r="AS42" i="40"/>
  <c r="AE42" i="40"/>
  <c r="O42" i="40"/>
  <c r="AR42" i="40"/>
  <c r="AA42" i="40"/>
  <c r="N42" i="40"/>
  <c r="AG42" i="40"/>
  <c r="L42" i="40"/>
  <c r="AF42" i="40"/>
  <c r="K42" i="40"/>
  <c r="AU42" i="40"/>
  <c r="Y42" i="40"/>
  <c r="I42" i="40"/>
  <c r="AT42" i="40"/>
  <c r="X42" i="40"/>
  <c r="H42" i="40"/>
  <c r="AI42" i="40"/>
  <c r="AP61" i="40"/>
  <c r="AT61" i="40"/>
  <c r="AG61" i="40"/>
  <c r="R61" i="40"/>
  <c r="E61" i="40"/>
  <c r="AQ61" i="40"/>
  <c r="AA61" i="40"/>
  <c r="N61" i="40"/>
  <c r="AO61" i="40"/>
  <c r="Z61" i="40"/>
  <c r="M61" i="40"/>
  <c r="AR61" i="40"/>
  <c r="W61" i="40"/>
  <c r="G61" i="40"/>
  <c r="AN61" i="40"/>
  <c r="V61" i="40"/>
  <c r="F61" i="40"/>
  <c r="AL61" i="40"/>
  <c r="T61" i="40"/>
  <c r="AK61" i="40"/>
  <c r="S61" i="40"/>
  <c r="AF61" i="40"/>
  <c r="AU51" i="38"/>
  <c r="AD47" i="35"/>
  <c r="AQ47" i="35"/>
  <c r="M47" i="35"/>
  <c r="AP47" i="35"/>
  <c r="G47" i="35"/>
  <c r="AO47" i="35"/>
  <c r="E47" i="35"/>
  <c r="AA47" i="35"/>
  <c r="Z47" i="35"/>
  <c r="R47" i="35"/>
  <c r="Q47" i="35"/>
  <c r="AT47" i="35"/>
  <c r="AS47" i="35"/>
  <c r="AG47" i="35"/>
  <c r="T47" i="35"/>
  <c r="AJ47" i="35"/>
  <c r="W47" i="43"/>
  <c r="AS47" i="43"/>
  <c r="AD59" i="43"/>
  <c r="U59" i="43"/>
  <c r="AP59" i="43"/>
  <c r="AD65" i="43"/>
  <c r="F65" i="43"/>
  <c r="AS65" i="43"/>
  <c r="S65" i="43"/>
  <c r="AR65" i="43"/>
  <c r="R65" i="43"/>
  <c r="AG65" i="43"/>
  <c r="AG50" i="40"/>
  <c r="O50" i="40"/>
  <c r="AP46" i="39"/>
  <c r="AK46" i="39"/>
  <c r="V46" i="39"/>
  <c r="I46" i="39"/>
  <c r="AJ46" i="39"/>
  <c r="U46" i="39"/>
  <c r="H46" i="39"/>
  <c r="AU46" i="39"/>
  <c r="AF46" i="39"/>
  <c r="N46" i="39"/>
  <c r="AT46" i="39"/>
  <c r="AE46" i="39"/>
  <c r="M46" i="39"/>
  <c r="AR46" i="39"/>
  <c r="Z46" i="39"/>
  <c r="K46" i="39"/>
  <c r="AQ46" i="39"/>
  <c r="Y46" i="39"/>
  <c r="J46" i="39"/>
  <c r="AA46" i="39"/>
  <c r="S63" i="46"/>
  <c r="AI63" i="46"/>
  <c r="AA64" i="46"/>
  <c r="AJ42" i="47"/>
  <c r="AP42" i="43"/>
  <c r="AD45" i="43"/>
  <c r="G47" i="43"/>
  <c r="X47" i="43"/>
  <c r="AT47" i="43"/>
  <c r="AF55" i="43"/>
  <c r="AL55" i="43"/>
  <c r="S55" i="43"/>
  <c r="AS55" i="43"/>
  <c r="M59" i="43"/>
  <c r="AG60" i="43"/>
  <c r="J60" i="43"/>
  <c r="AT60" i="43"/>
  <c r="X60" i="43"/>
  <c r="F60" i="43"/>
  <c r="Y60" i="43"/>
  <c r="AP61" i="43"/>
  <c r="AT61" i="43"/>
  <c r="AG61" i="43"/>
  <c r="R61" i="43"/>
  <c r="E61" i="43"/>
  <c r="AQ61" i="43"/>
  <c r="AO61" i="43"/>
  <c r="Z61" i="43"/>
  <c r="M61" i="43"/>
  <c r="T61" i="43"/>
  <c r="AK61" i="43"/>
  <c r="S63" i="43"/>
  <c r="J65" i="43"/>
  <c r="AH65" i="43"/>
  <c r="G50" i="40"/>
  <c r="AQ52" i="40"/>
  <c r="AM52" i="40"/>
  <c r="T52" i="40"/>
  <c r="AI52" i="40"/>
  <c r="N52" i="40"/>
  <c r="AH52" i="40"/>
  <c r="M52" i="40"/>
  <c r="Y52" i="40"/>
  <c r="AK55" i="40"/>
  <c r="T55" i="40"/>
  <c r="F55" i="40"/>
  <c r="AU55" i="40"/>
  <c r="AG55" i="40"/>
  <c r="P55" i="40"/>
  <c r="AT55" i="40"/>
  <c r="AE55" i="40"/>
  <c r="O55" i="40"/>
  <c r="W55" i="40"/>
  <c r="AP55" i="40"/>
  <c r="AR63" i="40"/>
  <c r="U63" i="40"/>
  <c r="AM63" i="40"/>
  <c r="P63" i="40"/>
  <c r="AL63" i="40"/>
  <c r="K63" i="40"/>
  <c r="AI63" i="40"/>
  <c r="E46" i="39"/>
  <c r="AG46" i="39"/>
  <c r="AI63" i="39"/>
  <c r="AO63" i="39"/>
  <c r="AN63" i="39"/>
  <c r="W63" i="39"/>
  <c r="V63" i="39"/>
  <c r="AA48" i="38"/>
  <c r="AF48" i="38"/>
  <c r="AE48" i="38"/>
  <c r="AD48" i="35"/>
  <c r="AS48" i="35"/>
  <c r="AQ48" i="35"/>
  <c r="AA48" i="35"/>
  <c r="W48" i="35"/>
  <c r="V48" i="35"/>
  <c r="AF45" i="43"/>
  <c r="I47" i="43"/>
  <c r="AD47" i="43"/>
  <c r="O59" i="43"/>
  <c r="AR63" i="43"/>
  <c r="AD63" i="43"/>
  <c r="M63" i="43"/>
  <c r="AO63" i="43"/>
  <c r="X63" i="43"/>
  <c r="J63" i="43"/>
  <c r="AM63" i="43"/>
  <c r="W63" i="43"/>
  <c r="I63" i="43"/>
  <c r="U63" i="43"/>
  <c r="AQ63" i="43"/>
  <c r="M65" i="43"/>
  <c r="AN65" i="43"/>
  <c r="R50" i="40"/>
  <c r="G46" i="39"/>
  <c r="AI46" i="39"/>
  <c r="AQ56" i="39"/>
  <c r="Q56" i="39"/>
  <c r="AK56" i="39"/>
  <c r="O56" i="39"/>
  <c r="AJ56" i="39"/>
  <c r="I56" i="39"/>
  <c r="AD56" i="39"/>
  <c r="AA56" i="39"/>
  <c r="T56" i="39"/>
  <c r="S56" i="39"/>
  <c r="T63" i="39"/>
  <c r="V57" i="46"/>
  <c r="H63" i="46"/>
  <c r="V63" i="46"/>
  <c r="AL63" i="46"/>
  <c r="L64" i="46"/>
  <c r="AF64" i="46"/>
  <c r="N42" i="47"/>
  <c r="AR42" i="47"/>
  <c r="Y52" i="47"/>
  <c r="J45" i="43"/>
  <c r="J47" i="43"/>
  <c r="Q49" i="43"/>
  <c r="AF49" i="43"/>
  <c r="AS49" i="43"/>
  <c r="AU54" i="43"/>
  <c r="Z54" i="43"/>
  <c r="AP54" i="43"/>
  <c r="P54" i="43"/>
  <c r="AF54" i="43"/>
  <c r="P55" i="43"/>
  <c r="AQ56" i="43"/>
  <c r="Y56" i="43"/>
  <c r="J56" i="43"/>
  <c r="AL56" i="43"/>
  <c r="U56" i="43"/>
  <c r="F56" i="43"/>
  <c r="W56" i="43"/>
  <c r="AR56" i="43"/>
  <c r="P59" i="43"/>
  <c r="H60" i="43"/>
  <c r="AH60" i="43"/>
  <c r="H61" i="43"/>
  <c r="W61" i="43"/>
  <c r="AN61" i="43"/>
  <c r="E63" i="43"/>
  <c r="V63" i="43"/>
  <c r="AT63" i="43"/>
  <c r="N65" i="43"/>
  <c r="AO65" i="43"/>
  <c r="AR45" i="40"/>
  <c r="AA45" i="40"/>
  <c r="F45" i="40"/>
  <c r="X45" i="40"/>
  <c r="AQ45" i="40"/>
  <c r="V45" i="40"/>
  <c r="AK45" i="40"/>
  <c r="S50" i="40"/>
  <c r="H52" i="40"/>
  <c r="AE52" i="40"/>
  <c r="H55" i="40"/>
  <c r="Z55" i="40"/>
  <c r="AR56" i="40"/>
  <c r="AJ56" i="40"/>
  <c r="H56" i="40"/>
  <c r="X56" i="40"/>
  <c r="W56" i="40"/>
  <c r="AL56" i="40"/>
  <c r="AS59" i="40"/>
  <c r="AI59" i="40"/>
  <c r="M59" i="40"/>
  <c r="Z59" i="40"/>
  <c r="J59" i="40"/>
  <c r="Y59" i="40"/>
  <c r="H59" i="40"/>
  <c r="AA59" i="40"/>
  <c r="H63" i="40"/>
  <c r="AT63" i="40"/>
  <c r="L46" i="39"/>
  <c r="AL46" i="39"/>
  <c r="E56" i="39"/>
  <c r="AM60" i="39"/>
  <c r="AI60" i="39"/>
  <c r="U63" i="39"/>
  <c r="AT48" i="38"/>
  <c r="X48" i="35"/>
  <c r="AP58" i="35"/>
  <c r="AJ58" i="35"/>
  <c r="U58" i="35"/>
  <c r="H58" i="35"/>
  <c r="AI58" i="35"/>
  <c r="T58" i="35"/>
  <c r="G58" i="35"/>
  <c r="AU58" i="35"/>
  <c r="AH58" i="35"/>
  <c r="S58" i="35"/>
  <c r="F58" i="35"/>
  <c r="AT58" i="35"/>
  <c r="AG58" i="35"/>
  <c r="R58" i="35"/>
  <c r="E58" i="35"/>
  <c r="AQ58" i="35"/>
  <c r="W58" i="35"/>
  <c r="AO58" i="35"/>
  <c r="V58" i="35"/>
  <c r="AM58" i="35"/>
  <c r="O58" i="35"/>
  <c r="AL58" i="35"/>
  <c r="N58" i="35"/>
  <c r="Y58" i="35"/>
  <c r="X58" i="35"/>
  <c r="M58" i="35"/>
  <c r="AS58" i="35"/>
  <c r="L58" i="35"/>
  <c r="AT54" i="40"/>
  <c r="AL60" i="40"/>
  <c r="AM65" i="40"/>
  <c r="C41" i="39"/>
  <c r="Q42" i="39"/>
  <c r="AF42" i="39"/>
  <c r="AS42" i="39"/>
  <c r="R43" i="39"/>
  <c r="AQ43" i="39"/>
  <c r="R48" i="39"/>
  <c r="AL48" i="39"/>
  <c r="W51" i="39"/>
  <c r="R55" i="39"/>
  <c r="AK55" i="39"/>
  <c r="AP57" i="39"/>
  <c r="AE57" i="39"/>
  <c r="X57" i="39"/>
  <c r="P57" i="39"/>
  <c r="V58" i="39"/>
  <c r="AR41" i="38"/>
  <c r="AL41" i="38"/>
  <c r="AK41" i="38"/>
  <c r="U41" i="38"/>
  <c r="AG41" i="38"/>
  <c r="N41" i="38"/>
  <c r="AU41" i="38"/>
  <c r="AA41" i="38"/>
  <c r="L41" i="38"/>
  <c r="AT41" i="38"/>
  <c r="Z41" i="38"/>
  <c r="K41" i="38"/>
  <c r="W41" i="38"/>
  <c r="V46" i="38"/>
  <c r="AS54" i="38"/>
  <c r="I54" i="38"/>
  <c r="AK54" i="38"/>
  <c r="H54" i="38"/>
  <c r="V54" i="38"/>
  <c r="U54" i="38"/>
  <c r="S54" i="38"/>
  <c r="Q54" i="38"/>
  <c r="AH57" i="38"/>
  <c r="AG57" i="38"/>
  <c r="R57" i="38"/>
  <c r="Q57" i="38"/>
  <c r="F57" i="38"/>
  <c r="E57" i="38"/>
  <c r="AO65" i="40"/>
  <c r="S43" i="39"/>
  <c r="AR43" i="39"/>
  <c r="T48" i="39"/>
  <c r="AP50" i="39"/>
  <c r="AQ50" i="39"/>
  <c r="K50" i="39"/>
  <c r="AM50" i="39"/>
  <c r="AG50" i="39"/>
  <c r="AI51" i="39"/>
  <c r="O51" i="39"/>
  <c r="AD51" i="39"/>
  <c r="M51" i="39"/>
  <c r="AS51" i="39"/>
  <c r="AA51" i="39"/>
  <c r="L51" i="39"/>
  <c r="X51" i="39"/>
  <c r="U52" i="39"/>
  <c r="H52" i="39"/>
  <c r="AR52" i="39"/>
  <c r="AI52" i="39"/>
  <c r="S55" i="39"/>
  <c r="AP58" i="39"/>
  <c r="AJ58" i="39"/>
  <c r="U58" i="39"/>
  <c r="H58" i="39"/>
  <c r="AU58" i="39"/>
  <c r="AH58" i="39"/>
  <c r="S58" i="39"/>
  <c r="F58" i="39"/>
  <c r="AT58" i="39"/>
  <c r="AG58" i="39"/>
  <c r="R58" i="39"/>
  <c r="E58" i="39"/>
  <c r="W58" i="39"/>
  <c r="AO58" i="39"/>
  <c r="AR60" i="38"/>
  <c r="AI60" i="38"/>
  <c r="K60" i="38"/>
  <c r="AH60" i="38"/>
  <c r="J60" i="38"/>
  <c r="AN60" i="38"/>
  <c r="N60" i="38"/>
  <c r="AM60" i="38"/>
  <c r="M60" i="38"/>
  <c r="AJ60" i="38"/>
  <c r="H60" i="38"/>
  <c r="AA60" i="38"/>
  <c r="G60" i="38"/>
  <c r="AP60" i="38"/>
  <c r="AP51" i="35"/>
  <c r="AO51" i="35"/>
  <c r="X51" i="35"/>
  <c r="I51" i="35"/>
  <c r="AN51" i="35"/>
  <c r="W51" i="35"/>
  <c r="H51" i="35"/>
  <c r="AM51" i="35"/>
  <c r="V51" i="35"/>
  <c r="G51" i="35"/>
  <c r="AL51" i="35"/>
  <c r="U51" i="35"/>
  <c r="F51" i="35"/>
  <c r="AS51" i="35"/>
  <c r="P51" i="35"/>
  <c r="AR51" i="35"/>
  <c r="O51" i="35"/>
  <c r="AJ51" i="35"/>
  <c r="L51" i="35"/>
  <c r="AI51" i="35"/>
  <c r="K51" i="35"/>
  <c r="AA43" i="39"/>
  <c r="AU43" i="39"/>
  <c r="AI48" i="39"/>
  <c r="S48" i="39"/>
  <c r="E48" i="39"/>
  <c r="AU48" i="39"/>
  <c r="AG48" i="39"/>
  <c r="P48" i="39"/>
  <c r="AT48" i="39"/>
  <c r="AE48" i="39"/>
  <c r="O48" i="39"/>
  <c r="V48" i="39"/>
  <c r="AP48" i="39"/>
  <c r="AQ55" i="39"/>
  <c r="AA55" i="39"/>
  <c r="L55" i="39"/>
  <c r="AO55" i="39"/>
  <c r="X55" i="39"/>
  <c r="J55" i="39"/>
  <c r="AN55" i="39"/>
  <c r="W55" i="39"/>
  <c r="I55" i="39"/>
  <c r="U55" i="39"/>
  <c r="AR55" i="39"/>
  <c r="AE46" i="38"/>
  <c r="M46" i="38"/>
  <c r="AT46" i="38"/>
  <c r="AD46" i="38"/>
  <c r="L46" i="38"/>
  <c r="AJ46" i="38"/>
  <c r="O46" i="38"/>
  <c r="AG46" i="38"/>
  <c r="J46" i="38"/>
  <c r="AA46" i="38"/>
  <c r="I46" i="38"/>
  <c r="Y46" i="38"/>
  <c r="I60" i="38"/>
  <c r="AT47" i="40"/>
  <c r="R54" i="40"/>
  <c r="N65" i="40"/>
  <c r="AR65" i="40"/>
  <c r="Q41" i="39"/>
  <c r="H42" i="39"/>
  <c r="U42" i="39"/>
  <c r="AJ42" i="39"/>
  <c r="E43" i="39"/>
  <c r="F48" i="39"/>
  <c r="W48" i="39"/>
  <c r="AQ48" i="39"/>
  <c r="O50" i="39"/>
  <c r="I51" i="39"/>
  <c r="AF51" i="39"/>
  <c r="P52" i="39"/>
  <c r="E55" i="39"/>
  <c r="V55" i="39"/>
  <c r="AT55" i="39"/>
  <c r="O57" i="39"/>
  <c r="J58" i="39"/>
  <c r="Z58" i="39"/>
  <c r="AS58" i="39"/>
  <c r="I41" i="38"/>
  <c r="AH41" i="38"/>
  <c r="E46" i="38"/>
  <c r="AI46" i="38"/>
  <c r="T54" i="38"/>
  <c r="V57" i="38"/>
  <c r="S60" i="38"/>
  <c r="AP62" i="38"/>
  <c r="O62" i="38"/>
  <c r="S51" i="35"/>
  <c r="AN56" i="35"/>
  <c r="AM56" i="35"/>
  <c r="T56" i="35"/>
  <c r="AL56" i="35"/>
  <c r="S56" i="35"/>
  <c r="AJ56" i="35"/>
  <c r="P56" i="35"/>
  <c r="AI56" i="35"/>
  <c r="O56" i="35"/>
  <c r="W56" i="35"/>
  <c r="AU56" i="35"/>
  <c r="U56" i="35"/>
  <c r="AQ56" i="35"/>
  <c r="M56" i="35"/>
  <c r="AP56" i="35"/>
  <c r="K56" i="35"/>
  <c r="AO56" i="35"/>
  <c r="AP65" i="35"/>
  <c r="AR65" i="35"/>
  <c r="Y65" i="35"/>
  <c r="J65" i="35"/>
  <c r="AQ65" i="35"/>
  <c r="X65" i="35"/>
  <c r="I65" i="35"/>
  <c r="AN65" i="35"/>
  <c r="W65" i="35"/>
  <c r="H65" i="35"/>
  <c r="AM65" i="35"/>
  <c r="V65" i="35"/>
  <c r="G65" i="35"/>
  <c r="U65" i="35"/>
  <c r="T65" i="35"/>
  <c r="AT65" i="35"/>
  <c r="R65" i="35"/>
  <c r="AL65" i="35"/>
  <c r="P65" i="35"/>
  <c r="AJ65" i="35"/>
  <c r="Y47" i="39"/>
  <c r="AR47" i="39"/>
  <c r="T49" i="39"/>
  <c r="AU49" i="39"/>
  <c r="R53" i="39"/>
  <c r="AQ53" i="39"/>
  <c r="AI64" i="39"/>
  <c r="M65" i="39"/>
  <c r="AE65" i="39"/>
  <c r="AS65" i="39"/>
  <c r="AL49" i="38"/>
  <c r="P49" i="38"/>
  <c r="AK49" i="38"/>
  <c r="O49" i="38"/>
  <c r="Y49" i="38"/>
  <c r="S50" i="38"/>
  <c r="AA55" i="38"/>
  <c r="Z55" i="38"/>
  <c r="AR55" i="38"/>
  <c r="N56" i="38"/>
  <c r="AF56" i="38"/>
  <c r="Y59" i="38"/>
  <c r="AP63" i="38"/>
  <c r="AT63" i="38"/>
  <c r="AF63" i="38"/>
  <c r="N63" i="38"/>
  <c r="AS63" i="38"/>
  <c r="AE63" i="38"/>
  <c r="M63" i="38"/>
  <c r="T63" i="38"/>
  <c r="AL63" i="38"/>
  <c r="AN42" i="35"/>
  <c r="AQ42" i="35"/>
  <c r="AE50" i="35"/>
  <c r="T50" i="35"/>
  <c r="S50" i="35"/>
  <c r="Q50" i="35"/>
  <c r="P50" i="35"/>
  <c r="AR61" i="35"/>
  <c r="H47" i="39"/>
  <c r="U49" i="39"/>
  <c r="S53" i="39"/>
  <c r="AR53" i="39"/>
  <c r="AM50" i="38"/>
  <c r="W50" i="38"/>
  <c r="H50" i="38"/>
  <c r="AL50" i="38"/>
  <c r="U50" i="38"/>
  <c r="G50" i="38"/>
  <c r="T50" i="38"/>
  <c r="AO50" i="38"/>
  <c r="O56" i="38"/>
  <c r="AI56" i="38"/>
  <c r="Z59" i="38"/>
  <c r="E63" i="38"/>
  <c r="U63" i="38"/>
  <c r="AM63" i="38"/>
  <c r="V42" i="35"/>
  <c r="I50" i="35"/>
  <c r="X53" i="35"/>
  <c r="V53" i="35"/>
  <c r="U53" i="35"/>
  <c r="S53" i="35"/>
  <c r="AT61" i="35"/>
  <c r="Z53" i="39"/>
  <c r="R65" i="39"/>
  <c r="AH65" i="39"/>
  <c r="AP42" i="38"/>
  <c r="Y42" i="38"/>
  <c r="X42" i="38"/>
  <c r="J49" i="38"/>
  <c r="AD49" i="38"/>
  <c r="F50" i="38"/>
  <c r="Y50" i="38"/>
  <c r="AQ50" i="38"/>
  <c r="O55" i="38"/>
  <c r="T56" i="38"/>
  <c r="G63" i="38"/>
  <c r="W63" i="38"/>
  <c r="AQ63" i="38"/>
  <c r="AL43" i="35"/>
  <c r="AP46" i="35"/>
  <c r="AL46" i="35"/>
  <c r="W46" i="35"/>
  <c r="J46" i="35"/>
  <c r="AK46" i="35"/>
  <c r="V46" i="35"/>
  <c r="I46" i="35"/>
  <c r="AJ46" i="35"/>
  <c r="U46" i="35"/>
  <c r="H46" i="35"/>
  <c r="T46" i="35"/>
  <c r="AO46" i="35"/>
  <c r="AN49" i="35"/>
  <c r="AM49" i="35"/>
  <c r="T49" i="35"/>
  <c r="AL49" i="35"/>
  <c r="R49" i="35"/>
  <c r="AJ49" i="35"/>
  <c r="P49" i="35"/>
  <c r="AI49" i="35"/>
  <c r="O49" i="35"/>
  <c r="AA49" i="35"/>
  <c r="AD50" i="35"/>
  <c r="AT53" i="35"/>
  <c r="AU62" i="35"/>
  <c r="AP62" i="35"/>
  <c r="N62" i="35"/>
  <c r="AO62" i="35"/>
  <c r="M62" i="35"/>
  <c r="AM62" i="35"/>
  <c r="J62" i="35"/>
  <c r="AK62" i="35"/>
  <c r="I62" i="35"/>
  <c r="AR66" i="35"/>
  <c r="AQ66" i="35"/>
  <c r="U66" i="35"/>
  <c r="AP66" i="35"/>
  <c r="S66" i="35"/>
  <c r="AN66" i="35"/>
  <c r="O66" i="35"/>
  <c r="AM66" i="35"/>
  <c r="N66" i="35"/>
  <c r="AJ66" i="35"/>
  <c r="AP56" i="38"/>
  <c r="AU56" i="38"/>
  <c r="AH56" i="38"/>
  <c r="S56" i="38"/>
  <c r="F56" i="38"/>
  <c r="AT56" i="38"/>
  <c r="AG56" i="38"/>
  <c r="R56" i="38"/>
  <c r="E56" i="38"/>
  <c r="U56" i="38"/>
  <c r="AL56" i="38"/>
  <c r="AM59" i="38"/>
  <c r="M59" i="38"/>
  <c r="AL59" i="38"/>
  <c r="L59" i="38"/>
  <c r="AE59" i="38"/>
  <c r="AA61" i="35"/>
  <c r="Z61" i="35"/>
  <c r="Y61" i="35"/>
  <c r="T61" i="35"/>
  <c r="F66" i="35"/>
  <c r="AK66" i="35"/>
  <c r="AI60" i="35"/>
  <c r="S64" i="35"/>
  <c r="AL64" i="35"/>
  <c r="AE45" i="35"/>
  <c r="T53" i="38"/>
  <c r="AK53" i="38"/>
  <c r="H45" i="35"/>
  <c r="AJ45" i="35"/>
  <c r="Y59" i="35"/>
  <c r="G60" i="35"/>
  <c r="AL60" i="35"/>
  <c r="F64" i="35"/>
  <c r="W64" i="35"/>
  <c r="AN64" i="35"/>
  <c r="E53" i="38"/>
  <c r="U53" i="38"/>
  <c r="I45" i="35"/>
  <c r="AL45" i="35"/>
  <c r="F59" i="35"/>
  <c r="AA59" i="35"/>
  <c r="H60" i="35"/>
  <c r="AR60" i="35"/>
  <c r="H64" i="35"/>
  <c r="X64" i="35"/>
  <c r="G20" i="55"/>
  <c r="G14" i="55"/>
  <c r="G4" i="55"/>
  <c r="G23" i="55"/>
  <c r="G13" i="55"/>
  <c r="G7" i="55"/>
  <c r="G11" i="55"/>
  <c r="G24" i="55"/>
  <c r="G2" i="55"/>
  <c r="G3" i="55"/>
  <c r="G16" i="55"/>
  <c r="G21" i="55"/>
  <c r="G22" i="55"/>
  <c r="G10" i="55"/>
  <c r="G6" i="55"/>
  <c r="G5" i="55"/>
  <c r="G12" i="55"/>
  <c r="G8" i="55"/>
  <c r="G17" i="55"/>
  <c r="G9" i="55"/>
  <c r="G15" i="55"/>
  <c r="G18" i="55"/>
  <c r="G19" i="55"/>
  <c r="AM26" i="55"/>
  <c r="AT41" i="35"/>
  <c r="Y42" i="35"/>
  <c r="AF54" i="35"/>
  <c r="Z42" i="35"/>
  <c r="AJ54" i="35"/>
  <c r="AQ57" i="35"/>
  <c r="K41" i="35"/>
  <c r="AH41" i="35"/>
  <c r="J42" i="35"/>
  <c r="AE42" i="35"/>
  <c r="H43" i="35"/>
  <c r="AG43" i="35"/>
  <c r="L44" i="35"/>
  <c r="AI44" i="35"/>
  <c r="AO53" i="35"/>
  <c r="AA53" i="35"/>
  <c r="O53" i="35"/>
  <c r="AR53" i="35"/>
  <c r="AE53" i="35"/>
  <c r="P53" i="35"/>
  <c r="AQ53" i="35"/>
  <c r="AD53" i="35"/>
  <c r="N53" i="35"/>
  <c r="L53" i="35"/>
  <c r="AP53" i="35"/>
  <c r="Z53" i="35"/>
  <c r="M53" i="35"/>
  <c r="AN53" i="35"/>
  <c r="Y53" i="35"/>
  <c r="AL53" i="35"/>
  <c r="W53" i="35"/>
  <c r="J53" i="35"/>
  <c r="AI53" i="35"/>
  <c r="T53" i="35"/>
  <c r="G53" i="35"/>
  <c r="AF53" i="35"/>
  <c r="M54" i="35"/>
  <c r="AO54" i="35"/>
  <c r="P57" i="35"/>
  <c r="AR57" i="35"/>
  <c r="L41" i="35"/>
  <c r="AI41" i="35"/>
  <c r="K42" i="35"/>
  <c r="AI42" i="35"/>
  <c r="J43" i="35"/>
  <c r="AI43" i="35"/>
  <c r="M44" i="35"/>
  <c r="AN44" i="35"/>
  <c r="V50" i="35"/>
  <c r="E53" i="35"/>
  <c r="AG53" i="35"/>
  <c r="N54" i="35"/>
  <c r="AP54" i="35"/>
  <c r="Q57" i="35"/>
  <c r="AS57" i="35"/>
  <c r="H41" i="35"/>
  <c r="AE43" i="35"/>
  <c r="AE44" i="35"/>
  <c r="AL57" i="35"/>
  <c r="AF41" i="35"/>
  <c r="I42" i="35"/>
  <c r="AF43" i="35"/>
  <c r="H44" i="35"/>
  <c r="G54" i="35"/>
  <c r="O57" i="35"/>
  <c r="P41" i="35"/>
  <c r="AK41" i="35"/>
  <c r="AJ42" i="35"/>
  <c r="N44" i="35"/>
  <c r="AN48" i="35"/>
  <c r="Z48" i="35"/>
  <c r="N48" i="35"/>
  <c r="AJ48" i="35"/>
  <c r="U48" i="35"/>
  <c r="H48" i="35"/>
  <c r="AT48" i="35"/>
  <c r="R48" i="35"/>
  <c r="E48" i="35"/>
  <c r="AI48" i="35"/>
  <c r="T48" i="35"/>
  <c r="G48" i="35"/>
  <c r="AG48" i="35"/>
  <c r="AU48" i="35"/>
  <c r="AH48" i="35"/>
  <c r="S48" i="35"/>
  <c r="F48" i="35"/>
  <c r="AR48" i="35"/>
  <c r="AE48" i="35"/>
  <c r="P48" i="35"/>
  <c r="AO48" i="35"/>
  <c r="Y48" i="35"/>
  <c r="L48" i="35"/>
  <c r="AF48" i="35"/>
  <c r="F53" i="35"/>
  <c r="AH53" i="35"/>
  <c r="O54" i="35"/>
  <c r="AQ54" i="35"/>
  <c r="S57" i="35"/>
  <c r="Q41" i="35"/>
  <c r="AL41" i="35"/>
  <c r="N42" i="35"/>
  <c r="AK42" i="35"/>
  <c r="P43" i="35"/>
  <c r="P44" i="35"/>
  <c r="AP44" i="35"/>
  <c r="I48" i="35"/>
  <c r="AK48" i="35"/>
  <c r="H53" i="35"/>
  <c r="AJ53" i="35"/>
  <c r="Q54" i="35"/>
  <c r="AS54" i="35"/>
  <c r="T57" i="35"/>
  <c r="AS61" i="35"/>
  <c r="AG61" i="35"/>
  <c r="S61" i="35"/>
  <c r="G61" i="35"/>
  <c r="AM61" i="35"/>
  <c r="X61" i="35"/>
  <c r="K61" i="35"/>
  <c r="AL61" i="35"/>
  <c r="W61" i="35"/>
  <c r="J61" i="35"/>
  <c r="AJ61" i="35"/>
  <c r="AK61" i="35"/>
  <c r="V61" i="35"/>
  <c r="I61" i="35"/>
  <c r="U61" i="35"/>
  <c r="H61" i="35"/>
  <c r="AU61" i="35"/>
  <c r="AH61" i="35"/>
  <c r="R61" i="35"/>
  <c r="E61" i="35"/>
  <c r="AQ61" i="35"/>
  <c r="AD61" i="35"/>
  <c r="O61" i="35"/>
  <c r="AF61" i="35"/>
  <c r="W41" i="35"/>
  <c r="AM43" i="35"/>
  <c r="Y43" i="35"/>
  <c r="M43" i="35"/>
  <c r="AQ43" i="35"/>
  <c r="AD43" i="35"/>
  <c r="O43" i="35"/>
  <c r="AP43" i="35"/>
  <c r="AA43" i="35"/>
  <c r="N43" i="35"/>
  <c r="AO43" i="35"/>
  <c r="Z43" i="35"/>
  <c r="L43" i="35"/>
  <c r="AK43" i="35"/>
  <c r="V43" i="35"/>
  <c r="I43" i="35"/>
  <c r="AU43" i="35"/>
  <c r="AH43" i="35"/>
  <c r="S43" i="35"/>
  <c r="F43" i="35"/>
  <c r="X43" i="35"/>
  <c r="AA44" i="35"/>
  <c r="E43" i="35"/>
  <c r="R41" i="35"/>
  <c r="P42" i="35"/>
  <c r="AM42" i="35"/>
  <c r="Q43" i="35"/>
  <c r="AN43" i="35"/>
  <c r="Q44" i="35"/>
  <c r="J48" i="35"/>
  <c r="AL48" i="35"/>
  <c r="AL50" i="35"/>
  <c r="X50" i="35"/>
  <c r="L50" i="35"/>
  <c r="AP50" i="35"/>
  <c r="AA50" i="35"/>
  <c r="N50" i="35"/>
  <c r="AM50" i="35"/>
  <c r="W50" i="35"/>
  <c r="AO50" i="35"/>
  <c r="Z50" i="35"/>
  <c r="M50" i="35"/>
  <c r="J50" i="35"/>
  <c r="AN50" i="35"/>
  <c r="Y50" i="35"/>
  <c r="K50" i="35"/>
  <c r="AJ50" i="35"/>
  <c r="U50" i="35"/>
  <c r="H50" i="35"/>
  <c r="AT50" i="35"/>
  <c r="AG50" i="35"/>
  <c r="R50" i="35"/>
  <c r="E50" i="35"/>
  <c r="AF50" i="35"/>
  <c r="I53" i="35"/>
  <c r="AK53" i="35"/>
  <c r="AU54" i="35"/>
  <c r="AO41" i="35"/>
  <c r="AA41" i="35"/>
  <c r="O41" i="35"/>
  <c r="C41" i="35"/>
  <c r="AN41" i="35"/>
  <c r="Z41" i="35"/>
  <c r="N41" i="35"/>
  <c r="AM41" i="35"/>
  <c r="Y41" i="35"/>
  <c r="M41" i="35"/>
  <c r="AJ41" i="35"/>
  <c r="V41" i="35"/>
  <c r="J41" i="35"/>
  <c r="AS41" i="35"/>
  <c r="AG41" i="35"/>
  <c r="S41" i="35"/>
  <c r="G41" i="35"/>
  <c r="AK57" i="35"/>
  <c r="W57" i="35"/>
  <c r="K57" i="35"/>
  <c r="AP57" i="35"/>
  <c r="AA57" i="35"/>
  <c r="N57" i="35"/>
  <c r="AO57" i="35"/>
  <c r="Z57" i="35"/>
  <c r="M57" i="35"/>
  <c r="J57" i="35"/>
  <c r="AN57" i="35"/>
  <c r="Y57" i="35"/>
  <c r="L57" i="35"/>
  <c r="AM57" i="35"/>
  <c r="X57" i="35"/>
  <c r="AJ57" i="35"/>
  <c r="U57" i="35"/>
  <c r="H57" i="35"/>
  <c r="AT57" i="35"/>
  <c r="AG57" i="35"/>
  <c r="R57" i="35"/>
  <c r="E57" i="35"/>
  <c r="AF57" i="35"/>
  <c r="F57" i="35"/>
  <c r="AH57" i="35"/>
  <c r="F41" i="35"/>
  <c r="AD41" i="35"/>
  <c r="AR44" i="35"/>
  <c r="AF44" i="35"/>
  <c r="R44" i="35"/>
  <c r="F44" i="35"/>
  <c r="AM44" i="35"/>
  <c r="X44" i="35"/>
  <c r="K44" i="35"/>
  <c r="AJ44" i="35"/>
  <c r="AL44" i="35"/>
  <c r="W44" i="35"/>
  <c r="J44" i="35"/>
  <c r="AK44" i="35"/>
  <c r="V44" i="35"/>
  <c r="I44" i="35"/>
  <c r="AU44" i="35"/>
  <c r="AH44" i="35"/>
  <c r="S44" i="35"/>
  <c r="E44" i="35"/>
  <c r="AQ44" i="35"/>
  <c r="AD44" i="35"/>
  <c r="O44" i="35"/>
  <c r="G57" i="35"/>
  <c r="AI57" i="35"/>
  <c r="E42" i="35"/>
  <c r="G44" i="35"/>
  <c r="E54" i="35"/>
  <c r="AG54" i="35"/>
  <c r="I57" i="35"/>
  <c r="I41" i="35"/>
  <c r="AD42" i="35"/>
  <c r="AG44" i="35"/>
  <c r="M42" i="35"/>
  <c r="K43" i="35"/>
  <c r="AJ43" i="35"/>
  <c r="AO44" i="35"/>
  <c r="AU57" i="35"/>
  <c r="T41" i="35"/>
  <c r="AQ41" i="35"/>
  <c r="Q42" i="35"/>
  <c r="R43" i="35"/>
  <c r="AR43" i="35"/>
  <c r="T44" i="35"/>
  <c r="AT44" i="35"/>
  <c r="K48" i="35"/>
  <c r="AM48" i="35"/>
  <c r="F50" i="35"/>
  <c r="AH50" i="35"/>
  <c r="K53" i="35"/>
  <c r="AM53" i="35"/>
  <c r="AM55" i="35"/>
  <c r="Y55" i="35"/>
  <c r="M55" i="35"/>
  <c r="AJ55" i="35"/>
  <c r="U55" i="35"/>
  <c r="H55" i="35"/>
  <c r="AI55" i="35"/>
  <c r="T55" i="35"/>
  <c r="G55" i="35"/>
  <c r="E55" i="35"/>
  <c r="AU55" i="35"/>
  <c r="AH55" i="35"/>
  <c r="S55" i="35"/>
  <c r="F55" i="35"/>
  <c r="AT55" i="35"/>
  <c r="AG55" i="35"/>
  <c r="R55" i="35"/>
  <c r="AR55" i="35"/>
  <c r="AE55" i="35"/>
  <c r="P55" i="35"/>
  <c r="AO55" i="35"/>
  <c r="Z55" i="35"/>
  <c r="L55" i="35"/>
  <c r="AF55" i="35"/>
  <c r="AD57" i="35"/>
  <c r="L61" i="35"/>
  <c r="AN61" i="35"/>
  <c r="E41" i="35"/>
  <c r="X41" i="35"/>
  <c r="AU41" i="35"/>
  <c r="AT42" i="35"/>
  <c r="AU42" i="35"/>
  <c r="AH42" i="35"/>
  <c r="T42" i="35"/>
  <c r="H42" i="35"/>
  <c r="AS42" i="35"/>
  <c r="AG42" i="35"/>
  <c r="S42" i="35"/>
  <c r="G42" i="35"/>
  <c r="AR42" i="35"/>
  <c r="AF42" i="35"/>
  <c r="R42" i="35"/>
  <c r="F42" i="35"/>
  <c r="AO42" i="35"/>
  <c r="AA42" i="35"/>
  <c r="O42" i="35"/>
  <c r="AL42" i="35"/>
  <c r="X42" i="35"/>
  <c r="L42" i="35"/>
  <c r="AT54" i="35"/>
  <c r="AH54" i="35"/>
  <c r="T54" i="35"/>
  <c r="H54" i="35"/>
  <c r="AN54" i="35"/>
  <c r="Y54" i="35"/>
  <c r="L54" i="35"/>
  <c r="I54" i="35"/>
  <c r="AM54" i="35"/>
  <c r="X54" i="35"/>
  <c r="K54" i="35"/>
  <c r="AL54" i="35"/>
  <c r="W54" i="35"/>
  <c r="J54" i="35"/>
  <c r="AK54" i="35"/>
  <c r="V54" i="35"/>
  <c r="AI54" i="35"/>
  <c r="S54" i="35"/>
  <c r="F54" i="35"/>
  <c r="AR54" i="35"/>
  <c r="AE54" i="35"/>
  <c r="P54" i="35"/>
  <c r="AE41" i="35"/>
  <c r="G43" i="35"/>
  <c r="R54" i="35"/>
  <c r="U41" i="35"/>
  <c r="AR41" i="35"/>
  <c r="U42" i="35"/>
  <c r="AP42" i="35"/>
  <c r="T43" i="35"/>
  <c r="AS43" i="35"/>
  <c r="U44" i="35"/>
  <c r="AU47" i="35"/>
  <c r="AI47" i="35"/>
  <c r="U47" i="35"/>
  <c r="I47" i="35"/>
  <c r="AN47" i="35"/>
  <c r="Y47" i="35"/>
  <c r="L47" i="35"/>
  <c r="V47" i="35"/>
  <c r="AM47" i="35"/>
  <c r="X47" i="35"/>
  <c r="K47" i="35"/>
  <c r="AK47" i="35"/>
  <c r="H47" i="35"/>
  <c r="AL47" i="35"/>
  <c r="W47" i="35"/>
  <c r="J47" i="35"/>
  <c r="AH47" i="35"/>
  <c r="S47" i="35"/>
  <c r="F47" i="35"/>
  <c r="AR47" i="35"/>
  <c r="AE47" i="35"/>
  <c r="P47" i="35"/>
  <c r="AF47" i="35"/>
  <c r="M48" i="35"/>
  <c r="AP48" i="35"/>
  <c r="G50" i="35"/>
  <c r="AI50" i="35"/>
  <c r="Q53" i="35"/>
  <c r="AS53" i="35"/>
  <c r="Z54" i="35"/>
  <c r="AE57" i="35"/>
  <c r="AN60" i="35"/>
  <c r="Z60" i="35"/>
  <c r="N60" i="35"/>
  <c r="AQ60" i="35"/>
  <c r="AD60" i="35"/>
  <c r="O60" i="35"/>
  <c r="AP60" i="35"/>
  <c r="AA60" i="35"/>
  <c r="M60" i="35"/>
  <c r="AO60" i="35"/>
  <c r="Y60" i="35"/>
  <c r="L60" i="35"/>
  <c r="AM60" i="35"/>
  <c r="X60" i="35"/>
  <c r="K60" i="35"/>
  <c r="AK60" i="35"/>
  <c r="V60" i="35"/>
  <c r="I60" i="35"/>
  <c r="AU60" i="35"/>
  <c r="AH60" i="35"/>
  <c r="S60" i="35"/>
  <c r="F60" i="35"/>
  <c r="AF60" i="35"/>
  <c r="M61" i="35"/>
  <c r="AO61" i="35"/>
  <c r="AQ63" i="35"/>
  <c r="AE63" i="35"/>
  <c r="Q63" i="35"/>
  <c r="E63" i="35"/>
  <c r="AS63" i="35"/>
  <c r="AF63" i="35"/>
  <c r="P63" i="35"/>
  <c r="AO63" i="35"/>
  <c r="Z63" i="35"/>
  <c r="M63" i="35"/>
  <c r="AR63" i="35"/>
  <c r="AD63" i="35"/>
  <c r="O63" i="35"/>
  <c r="AP63" i="35"/>
  <c r="AA63" i="35"/>
  <c r="N63" i="35"/>
  <c r="AM63" i="35"/>
  <c r="X63" i="35"/>
  <c r="K63" i="35"/>
  <c r="AJ63" i="35"/>
  <c r="U63" i="35"/>
  <c r="H63" i="35"/>
  <c r="AG63" i="35"/>
  <c r="L45" i="35"/>
  <c r="Y45" i="35"/>
  <c r="AN45" i="35"/>
  <c r="I49" i="35"/>
  <c r="V49" i="35"/>
  <c r="AK49" i="35"/>
  <c r="N51" i="35"/>
  <c r="AA51" i="35"/>
  <c r="K52" i="35"/>
  <c r="X52" i="35"/>
  <c r="AM52" i="35"/>
  <c r="I56" i="35"/>
  <c r="V56" i="35"/>
  <c r="AK56" i="35"/>
  <c r="J59" i="35"/>
  <c r="W59" i="35"/>
  <c r="AL59" i="35"/>
  <c r="K62" i="35"/>
  <c r="Y62" i="35"/>
  <c r="AN62" i="35"/>
  <c r="AJ64" i="35"/>
  <c r="V64" i="35"/>
  <c r="J64" i="35"/>
  <c r="Q64" i="35"/>
  <c r="AF64" i="35"/>
  <c r="AS64" i="35"/>
  <c r="M65" i="35"/>
  <c r="Z65" i="35"/>
  <c r="J66" i="35"/>
  <c r="W66" i="35"/>
  <c r="AL66" i="35"/>
  <c r="O45" i="35"/>
  <c r="AD45" i="35"/>
  <c r="AQ45" i="35"/>
  <c r="L49" i="35"/>
  <c r="Y49" i="35"/>
  <c r="AQ51" i="35"/>
  <c r="AE51" i="35"/>
  <c r="Q51" i="35"/>
  <c r="E51" i="35"/>
  <c r="R51" i="35"/>
  <c r="AG51" i="35"/>
  <c r="AT51" i="35"/>
  <c r="N52" i="35"/>
  <c r="AA52" i="35"/>
  <c r="L56" i="35"/>
  <c r="Y56" i="35"/>
  <c r="M59" i="35"/>
  <c r="Z59" i="35"/>
  <c r="AO59" i="35"/>
  <c r="O62" i="35"/>
  <c r="AD62" i="35"/>
  <c r="AQ62" i="35"/>
  <c r="G64" i="35"/>
  <c r="T64" i="35"/>
  <c r="AI64" i="35"/>
  <c r="AO65" i="35"/>
  <c r="AA65" i="35"/>
  <c r="O65" i="35"/>
  <c r="Q65" i="35"/>
  <c r="AF65" i="35"/>
  <c r="AS65" i="35"/>
  <c r="M66" i="35"/>
  <c r="Z66" i="35"/>
  <c r="AO66" i="35"/>
  <c r="AF62" i="35"/>
  <c r="E45" i="35"/>
  <c r="R45" i="35"/>
  <c r="AG45" i="35"/>
  <c r="AJ52" i="35"/>
  <c r="V52" i="35"/>
  <c r="J52" i="35"/>
  <c r="Q52" i="35"/>
  <c r="AF52" i="35"/>
  <c r="AS52" i="35"/>
  <c r="P59" i="35"/>
  <c r="AE59" i="35"/>
  <c r="E62" i="35"/>
  <c r="R62" i="35"/>
  <c r="AG62" i="35"/>
  <c r="AT62" i="35"/>
  <c r="P66" i="35"/>
  <c r="AE66" i="35"/>
  <c r="AK45" i="35"/>
  <c r="W45" i="35"/>
  <c r="K45" i="35"/>
  <c r="AF45" i="35"/>
  <c r="F45" i="35"/>
  <c r="S45" i="35"/>
  <c r="AH45" i="35"/>
  <c r="AU45" i="35"/>
  <c r="AU59" i="35"/>
  <c r="AI59" i="35"/>
  <c r="U59" i="35"/>
  <c r="I59" i="35"/>
  <c r="Q59" i="35"/>
  <c r="AF59" i="35"/>
  <c r="AS59" i="35"/>
  <c r="F62" i="35"/>
  <c r="S62" i="35"/>
  <c r="AH62" i="35"/>
  <c r="AT66" i="35"/>
  <c r="AH66" i="35"/>
  <c r="T66" i="35"/>
  <c r="H66" i="35"/>
  <c r="Q66" i="35"/>
  <c r="AF66" i="35"/>
  <c r="AS66" i="35"/>
  <c r="Q45" i="35"/>
  <c r="AS45" i="35"/>
  <c r="AL62" i="35"/>
  <c r="X62" i="35"/>
  <c r="L62" i="35"/>
  <c r="Q62" i="35"/>
  <c r="AS62" i="35"/>
  <c r="G45" i="35"/>
  <c r="T45" i="35"/>
  <c r="AI45" i="35"/>
  <c r="AS49" i="35"/>
  <c r="AG49" i="35"/>
  <c r="S49" i="35"/>
  <c r="G49" i="35"/>
  <c r="Q49" i="35"/>
  <c r="AF49" i="35"/>
  <c r="AT49" i="35"/>
  <c r="F52" i="35"/>
  <c r="S52" i="35"/>
  <c r="AH52" i="35"/>
  <c r="AU52" i="35"/>
  <c r="AR56" i="35"/>
  <c r="AF56" i="35"/>
  <c r="R56" i="35"/>
  <c r="F56" i="35"/>
  <c r="Q56" i="35"/>
  <c r="AG56" i="35"/>
  <c r="AT56" i="35"/>
  <c r="E59" i="35"/>
  <c r="R59" i="35"/>
  <c r="AG59" i="35"/>
  <c r="AT59" i="35"/>
  <c r="G62" i="35"/>
  <c r="T62" i="35"/>
  <c r="AI62" i="35"/>
  <c r="E66" i="35"/>
  <c r="R66" i="35"/>
  <c r="AG66" i="35"/>
  <c r="AU66" i="35"/>
  <c r="P46" i="35"/>
  <c r="AD46" i="35"/>
  <c r="P58" i="35"/>
  <c r="AD58" i="35"/>
  <c r="AU45" i="38"/>
  <c r="AI45" i="38"/>
  <c r="U45" i="38"/>
  <c r="I45" i="38"/>
  <c r="AL45" i="38"/>
  <c r="W45" i="38"/>
  <c r="J45" i="38"/>
  <c r="R45" i="38"/>
  <c r="AK45" i="38"/>
  <c r="V45" i="38"/>
  <c r="H45" i="38"/>
  <c r="AJ45" i="38"/>
  <c r="T45" i="38"/>
  <c r="G45" i="38"/>
  <c r="AT45" i="38"/>
  <c r="AH45" i="38"/>
  <c r="S45" i="38"/>
  <c r="F45" i="38"/>
  <c r="AG45" i="38"/>
  <c r="E45" i="38"/>
  <c r="AD45" i="38"/>
  <c r="S58" i="38"/>
  <c r="AU58" i="38"/>
  <c r="U61" i="38"/>
  <c r="AJ62" i="38"/>
  <c r="V62" i="38"/>
  <c r="J62" i="38"/>
  <c r="AM62" i="38"/>
  <c r="X62" i="38"/>
  <c r="K62" i="38"/>
  <c r="AL62" i="38"/>
  <c r="W62" i="38"/>
  <c r="I62" i="38"/>
  <c r="AH62" i="38"/>
  <c r="F62" i="38"/>
  <c r="AT62" i="38"/>
  <c r="AG62" i="38"/>
  <c r="R62" i="38"/>
  <c r="E62" i="38"/>
  <c r="AK62" i="38"/>
  <c r="U62" i="38"/>
  <c r="H62" i="38"/>
  <c r="AU62" i="38"/>
  <c r="S62" i="38"/>
  <c r="AI62" i="38"/>
  <c r="T62" i="38"/>
  <c r="G62" i="38"/>
  <c r="AF62" i="38"/>
  <c r="Q42" i="38"/>
  <c r="AO42" i="38"/>
  <c r="K45" i="38"/>
  <c r="AE45" i="38"/>
  <c r="P47" i="38"/>
  <c r="AR47" i="38"/>
  <c r="Z48" i="38"/>
  <c r="AA58" i="38"/>
  <c r="AD61" i="38"/>
  <c r="L62" i="38"/>
  <c r="AN62" i="38"/>
  <c r="R42" i="38"/>
  <c r="L45" i="38"/>
  <c r="AF45" i="38"/>
  <c r="Q47" i="38"/>
  <c r="AT47" i="38"/>
  <c r="M62" i="38"/>
  <c r="AO62" i="38"/>
  <c r="AQ61" i="38"/>
  <c r="AE61" i="38"/>
  <c r="Q61" i="38"/>
  <c r="E61" i="38"/>
  <c r="AP61" i="38"/>
  <c r="AA61" i="38"/>
  <c r="N61" i="38"/>
  <c r="AO61" i="38"/>
  <c r="Z61" i="38"/>
  <c r="M61" i="38"/>
  <c r="J61" i="38"/>
  <c r="AK61" i="38"/>
  <c r="V61" i="38"/>
  <c r="I61" i="38"/>
  <c r="AN61" i="38"/>
  <c r="Y61" i="38"/>
  <c r="L61" i="38"/>
  <c r="W61" i="38"/>
  <c r="AM61" i="38"/>
  <c r="X61" i="38"/>
  <c r="K61" i="38"/>
  <c r="AL61" i="38"/>
  <c r="AN58" i="38"/>
  <c r="Z58" i="38"/>
  <c r="N58" i="38"/>
  <c r="AO58" i="38"/>
  <c r="Y58" i="38"/>
  <c r="L58" i="38"/>
  <c r="AM58" i="38"/>
  <c r="X58" i="38"/>
  <c r="K58" i="38"/>
  <c r="U58" i="38"/>
  <c r="AL58" i="38"/>
  <c r="W58" i="38"/>
  <c r="J58" i="38"/>
  <c r="AJ58" i="38"/>
  <c r="AI58" i="38"/>
  <c r="T58" i="38"/>
  <c r="G58" i="38"/>
  <c r="AK58" i="38"/>
  <c r="V58" i="38"/>
  <c r="I58" i="38"/>
  <c r="H58" i="38"/>
  <c r="AF58" i="38"/>
  <c r="F61" i="38"/>
  <c r="AH61" i="38"/>
  <c r="AR42" i="38"/>
  <c r="AK42" i="38"/>
  <c r="W42" i="38"/>
  <c r="K42" i="38"/>
  <c r="AT42" i="38"/>
  <c r="AG42" i="38"/>
  <c r="S42" i="38"/>
  <c r="AJ42" i="38"/>
  <c r="V42" i="38"/>
  <c r="J42" i="38"/>
  <c r="AI42" i="38"/>
  <c r="U42" i="38"/>
  <c r="I42" i="38"/>
  <c r="AU42" i="38"/>
  <c r="AH42" i="38"/>
  <c r="T42" i="38"/>
  <c r="H42" i="38"/>
  <c r="G42" i="38"/>
  <c r="Z42" i="38"/>
  <c r="O45" i="38"/>
  <c r="AO45" i="38"/>
  <c r="AL48" i="38"/>
  <c r="X48" i="38"/>
  <c r="L48" i="38"/>
  <c r="AN48" i="38"/>
  <c r="Y48" i="38"/>
  <c r="K48" i="38"/>
  <c r="AM48" i="38"/>
  <c r="W48" i="38"/>
  <c r="J48" i="38"/>
  <c r="AU48" i="38"/>
  <c r="AH48" i="38"/>
  <c r="S48" i="38"/>
  <c r="AK48" i="38"/>
  <c r="V48" i="38"/>
  <c r="I48" i="38"/>
  <c r="F48" i="38"/>
  <c r="AJ48" i="38"/>
  <c r="U48" i="38"/>
  <c r="H48" i="38"/>
  <c r="AI48" i="38"/>
  <c r="T48" i="38"/>
  <c r="G48" i="38"/>
  <c r="E58" i="38"/>
  <c r="AG58" i="38"/>
  <c r="G61" i="38"/>
  <c r="AI61" i="38"/>
  <c r="P62" i="38"/>
  <c r="AR62" i="38"/>
  <c r="E42" i="38"/>
  <c r="AA42" i="38"/>
  <c r="P45" i="38"/>
  <c r="AP45" i="38"/>
  <c r="V47" i="38"/>
  <c r="E48" i="38"/>
  <c r="AG48" i="38"/>
  <c r="F58" i="38"/>
  <c r="AH58" i="38"/>
  <c r="H61" i="38"/>
  <c r="AJ61" i="38"/>
  <c r="Q62" i="38"/>
  <c r="AS62" i="38"/>
  <c r="F42" i="38"/>
  <c r="AD42" i="38"/>
  <c r="Q45" i="38"/>
  <c r="AQ45" i="38"/>
  <c r="M48" i="38"/>
  <c r="AO48" i="38"/>
  <c r="AO51" i="38"/>
  <c r="AA51" i="38"/>
  <c r="O51" i="38"/>
  <c r="AP51" i="38"/>
  <c r="Z51" i="38"/>
  <c r="M51" i="38"/>
  <c r="V51" i="38"/>
  <c r="U51" i="38"/>
  <c r="AN51" i="38"/>
  <c r="Y51" i="38"/>
  <c r="L51" i="38"/>
  <c r="AK51" i="38"/>
  <c r="AM51" i="38"/>
  <c r="X51" i="38"/>
  <c r="K51" i="38"/>
  <c r="AJ51" i="38"/>
  <c r="H51" i="38"/>
  <c r="AL51" i="38"/>
  <c r="W51" i="38"/>
  <c r="J51" i="38"/>
  <c r="I51" i="38"/>
  <c r="AF51" i="38"/>
  <c r="AK55" i="38"/>
  <c r="W55" i="38"/>
  <c r="K55" i="38"/>
  <c r="AN55" i="38"/>
  <c r="Y55" i="38"/>
  <c r="L55" i="38"/>
  <c r="AM55" i="38"/>
  <c r="X55" i="38"/>
  <c r="J55" i="38"/>
  <c r="AI55" i="38"/>
  <c r="T55" i="38"/>
  <c r="AU55" i="38"/>
  <c r="S55" i="38"/>
  <c r="AL55" i="38"/>
  <c r="V55" i="38"/>
  <c r="I55" i="38"/>
  <c r="AH55" i="38"/>
  <c r="F55" i="38"/>
  <c r="AJ55" i="38"/>
  <c r="U55" i="38"/>
  <c r="H55" i="38"/>
  <c r="G55" i="38"/>
  <c r="AF55" i="38"/>
  <c r="AU57" i="38"/>
  <c r="AI57" i="38"/>
  <c r="U57" i="38"/>
  <c r="I57" i="38"/>
  <c r="AR57" i="38"/>
  <c r="AE57" i="38"/>
  <c r="P57" i="38"/>
  <c r="AQ57" i="38"/>
  <c r="AD57" i="38"/>
  <c r="O57" i="38"/>
  <c r="Y57" i="38"/>
  <c r="AP57" i="38"/>
  <c r="AA57" i="38"/>
  <c r="N57" i="38"/>
  <c r="AN57" i="38"/>
  <c r="AM57" i="38"/>
  <c r="X57" i="38"/>
  <c r="K57" i="38"/>
  <c r="AO57" i="38"/>
  <c r="Z57" i="38"/>
  <c r="M57" i="38"/>
  <c r="L57" i="38"/>
  <c r="AF57" i="38"/>
  <c r="M58" i="38"/>
  <c r="AP58" i="38"/>
  <c r="O61" i="38"/>
  <c r="AR61" i="38"/>
  <c r="Y62" i="38"/>
  <c r="AG61" i="38"/>
  <c r="L42" i="38"/>
  <c r="AE42" i="38"/>
  <c r="AR45" i="38"/>
  <c r="AS47" i="38"/>
  <c r="AG47" i="38"/>
  <c r="S47" i="38"/>
  <c r="G47" i="38"/>
  <c r="AQ47" i="38"/>
  <c r="AD47" i="38"/>
  <c r="O47" i="38"/>
  <c r="AP47" i="38"/>
  <c r="AA47" i="38"/>
  <c r="N47" i="38"/>
  <c r="AL47" i="38"/>
  <c r="W47" i="38"/>
  <c r="AO47" i="38"/>
  <c r="Z47" i="38"/>
  <c r="M47" i="38"/>
  <c r="J47" i="38"/>
  <c r="AN47" i="38"/>
  <c r="Y47" i="38"/>
  <c r="L47" i="38"/>
  <c r="AM47" i="38"/>
  <c r="X47" i="38"/>
  <c r="K47" i="38"/>
  <c r="N48" i="38"/>
  <c r="AP48" i="38"/>
  <c r="O58" i="38"/>
  <c r="AQ58" i="38"/>
  <c r="P61" i="38"/>
  <c r="Z62" i="38"/>
  <c r="M42" i="38"/>
  <c r="AF42" i="38"/>
  <c r="Y45" i="38"/>
  <c r="AS45" i="38"/>
  <c r="E47" i="38"/>
  <c r="AH47" i="38"/>
  <c r="O48" i="38"/>
  <c r="AQ48" i="38"/>
  <c r="P58" i="38"/>
  <c r="AR58" i="38"/>
  <c r="R61" i="38"/>
  <c r="AT61" i="38"/>
  <c r="AA62" i="38"/>
  <c r="N42" i="38"/>
  <c r="AL42" i="38"/>
  <c r="Z45" i="38"/>
  <c r="F47" i="38"/>
  <c r="AI47" i="38"/>
  <c r="P48" i="38"/>
  <c r="AR48" i="38"/>
  <c r="G51" i="38"/>
  <c r="AI51" i="38"/>
  <c r="AR54" i="38"/>
  <c r="AF54" i="38"/>
  <c r="R54" i="38"/>
  <c r="F54" i="38"/>
  <c r="AQ54" i="38"/>
  <c r="AD54" i="38"/>
  <c r="O54" i="38"/>
  <c r="AP54" i="38"/>
  <c r="AA54" i="38"/>
  <c r="N54" i="38"/>
  <c r="AM54" i="38"/>
  <c r="X54" i="38"/>
  <c r="K54" i="38"/>
  <c r="AL54" i="38"/>
  <c r="J54" i="38"/>
  <c r="AO54" i="38"/>
  <c r="Z54" i="38"/>
  <c r="M54" i="38"/>
  <c r="W54" i="38"/>
  <c r="AN54" i="38"/>
  <c r="Y54" i="38"/>
  <c r="L54" i="38"/>
  <c r="AG54" i="38"/>
  <c r="N55" i="38"/>
  <c r="AP55" i="38"/>
  <c r="G57" i="38"/>
  <c r="AJ57" i="38"/>
  <c r="Q58" i="38"/>
  <c r="AS58" i="38"/>
  <c r="S61" i="38"/>
  <c r="AU61" i="38"/>
  <c r="AD62" i="38"/>
  <c r="X45" i="38"/>
  <c r="AF47" i="38"/>
  <c r="AS61" i="38"/>
  <c r="O42" i="38"/>
  <c r="AM42" i="38"/>
  <c r="AA45" i="38"/>
  <c r="H47" i="38"/>
  <c r="AJ47" i="38"/>
  <c r="Q48" i="38"/>
  <c r="AS48" i="38"/>
  <c r="H57" i="38"/>
  <c r="AK57" i="38"/>
  <c r="R58" i="38"/>
  <c r="AT58" i="38"/>
  <c r="T61" i="38"/>
  <c r="AE62" i="38"/>
  <c r="AS59" i="38"/>
  <c r="AG59" i="38"/>
  <c r="S59" i="38"/>
  <c r="G59" i="38"/>
  <c r="Q59" i="38"/>
  <c r="AF59" i="38"/>
  <c r="AT59" i="38"/>
  <c r="E66" i="38"/>
  <c r="W66" i="38"/>
  <c r="AN66" i="38"/>
  <c r="O43" i="38"/>
  <c r="AD43" i="38"/>
  <c r="AQ43" i="38"/>
  <c r="AQ49" i="38"/>
  <c r="AE49" i="38"/>
  <c r="Q49" i="38"/>
  <c r="E49" i="38"/>
  <c r="R49" i="38"/>
  <c r="AG49" i="38"/>
  <c r="AT49" i="38"/>
  <c r="F52" i="38"/>
  <c r="S52" i="38"/>
  <c r="AI52" i="38"/>
  <c r="E59" i="38"/>
  <c r="R59" i="38"/>
  <c r="AH59" i="38"/>
  <c r="AU59" i="38"/>
  <c r="O60" i="38"/>
  <c r="AD60" i="38"/>
  <c r="AQ60" i="38"/>
  <c r="Q64" i="38"/>
  <c r="H66" i="38"/>
  <c r="X66" i="38"/>
  <c r="AO66" i="38"/>
  <c r="P41" i="38"/>
  <c r="AD41" i="38"/>
  <c r="AP41" i="38"/>
  <c r="P43" i="38"/>
  <c r="AE43" i="38"/>
  <c r="AN46" i="38"/>
  <c r="Z46" i="38"/>
  <c r="N46" i="38"/>
  <c r="Q46" i="38"/>
  <c r="AF46" i="38"/>
  <c r="AS46" i="38"/>
  <c r="F49" i="38"/>
  <c r="S49" i="38"/>
  <c r="AH49" i="38"/>
  <c r="AU49" i="38"/>
  <c r="G52" i="38"/>
  <c r="U52" i="38"/>
  <c r="AM53" i="38"/>
  <c r="Y53" i="38"/>
  <c r="M53" i="38"/>
  <c r="Q53" i="38"/>
  <c r="AF53" i="38"/>
  <c r="AS53" i="38"/>
  <c r="F59" i="38"/>
  <c r="T59" i="38"/>
  <c r="AI59" i="38"/>
  <c r="P60" i="38"/>
  <c r="AE60" i="38"/>
  <c r="AU64" i="38"/>
  <c r="AI64" i="38"/>
  <c r="U64" i="38"/>
  <c r="I64" i="38"/>
  <c r="AT64" i="38"/>
  <c r="AH64" i="38"/>
  <c r="T64" i="38"/>
  <c r="H64" i="38"/>
  <c r="R64" i="38"/>
  <c r="AJ64" i="38"/>
  <c r="J66" i="38"/>
  <c r="Y66" i="38"/>
  <c r="AT52" i="38"/>
  <c r="AH52" i="38"/>
  <c r="T52" i="38"/>
  <c r="H52" i="38"/>
  <c r="Q52" i="38"/>
  <c r="AF52" i="38"/>
  <c r="AS52" i="38"/>
  <c r="AU66" i="38"/>
  <c r="AI66" i="38"/>
  <c r="U66" i="38"/>
  <c r="I66" i="38"/>
  <c r="AS66" i="38"/>
  <c r="AG66" i="38"/>
  <c r="S66" i="38"/>
  <c r="G66" i="38"/>
  <c r="AR66" i="38"/>
  <c r="AF66" i="38"/>
  <c r="R66" i="38"/>
  <c r="F66" i="38"/>
  <c r="V66" i="38"/>
  <c r="E52" i="38"/>
  <c r="R52" i="38"/>
  <c r="AG52" i="38"/>
  <c r="AU52" i="38"/>
  <c r="AK43" i="38"/>
  <c r="W43" i="38"/>
  <c r="K43" i="38"/>
  <c r="Q43" i="38"/>
  <c r="AF43" i="38"/>
  <c r="AS43" i="38"/>
  <c r="I52" i="38"/>
  <c r="V52" i="38"/>
  <c r="AK52" i="38"/>
  <c r="H59" i="38"/>
  <c r="U59" i="38"/>
  <c r="AJ59" i="38"/>
  <c r="AL60" i="38"/>
  <c r="X60" i="38"/>
  <c r="L60" i="38"/>
  <c r="Q60" i="38"/>
  <c r="AF60" i="38"/>
  <c r="AS60" i="38"/>
  <c r="K66" i="38"/>
  <c r="Z66" i="38"/>
  <c r="AQ66" i="38"/>
  <c r="F41" i="38"/>
  <c r="R41" i="38"/>
  <c r="AF41" i="38"/>
  <c r="E43" i="38"/>
  <c r="R43" i="38"/>
  <c r="AG43" i="38"/>
  <c r="AT43" i="38"/>
  <c r="F46" i="38"/>
  <c r="S46" i="38"/>
  <c r="AH46" i="38"/>
  <c r="AU46" i="38"/>
  <c r="H49" i="38"/>
  <c r="U49" i="38"/>
  <c r="AJ49" i="38"/>
  <c r="AJ50" i="38"/>
  <c r="V50" i="38"/>
  <c r="J50" i="38"/>
  <c r="Q50" i="38"/>
  <c r="AF50" i="38"/>
  <c r="AS50" i="38"/>
  <c r="J52" i="38"/>
  <c r="W52" i="38"/>
  <c r="AL52" i="38"/>
  <c r="F53" i="38"/>
  <c r="S53" i="38"/>
  <c r="AH53" i="38"/>
  <c r="AU53" i="38"/>
  <c r="I59" i="38"/>
  <c r="V59" i="38"/>
  <c r="AK59" i="38"/>
  <c r="E60" i="38"/>
  <c r="R60" i="38"/>
  <c r="AG60" i="38"/>
  <c r="AT60" i="38"/>
  <c r="F64" i="38"/>
  <c r="V64" i="38"/>
  <c r="AL64" i="38"/>
  <c r="L66" i="38"/>
  <c r="AA66" i="38"/>
  <c r="AT66" i="38"/>
  <c r="P44" i="38"/>
  <c r="AD44" i="38"/>
  <c r="P56" i="38"/>
  <c r="AD56" i="38"/>
  <c r="O63" i="38"/>
  <c r="AA63" i="38"/>
  <c r="AO63" i="38"/>
  <c r="M65" i="38"/>
  <c r="Y65" i="38"/>
  <c r="AM65" i="38"/>
  <c r="P63" i="38"/>
  <c r="AD63" i="38"/>
  <c r="N65" i="38"/>
  <c r="Z65" i="38"/>
  <c r="AN65" i="38"/>
  <c r="P65" i="38"/>
  <c r="AD65" i="38"/>
  <c r="I45" i="39"/>
  <c r="AS45" i="39"/>
  <c r="AJ59" i="39"/>
  <c r="V59" i="39"/>
  <c r="J59" i="39"/>
  <c r="AU59" i="39"/>
  <c r="AI59" i="39"/>
  <c r="U59" i="39"/>
  <c r="I59" i="39"/>
  <c r="AS59" i="39"/>
  <c r="AE59" i="39"/>
  <c r="O59" i="39"/>
  <c r="AR59" i="39"/>
  <c r="AD59" i="39"/>
  <c r="N59" i="39"/>
  <c r="AQ59" i="39"/>
  <c r="AA59" i="39"/>
  <c r="M59" i="39"/>
  <c r="AP59" i="39"/>
  <c r="Z59" i="39"/>
  <c r="L59" i="39"/>
  <c r="AM59" i="39"/>
  <c r="Q59" i="39"/>
  <c r="AL59" i="39"/>
  <c r="P59" i="39"/>
  <c r="AK59" i="39"/>
  <c r="K59" i="39"/>
  <c r="AF59" i="39"/>
  <c r="F59" i="39"/>
  <c r="Y59" i="39"/>
  <c r="E59" i="39"/>
  <c r="AT59" i="39"/>
  <c r="AU66" i="39"/>
  <c r="AI66" i="39"/>
  <c r="U66" i="39"/>
  <c r="I66" i="39"/>
  <c r="AT66" i="39"/>
  <c r="AH66" i="39"/>
  <c r="T66" i="39"/>
  <c r="H66" i="39"/>
  <c r="AS66" i="39"/>
  <c r="AE66" i="39"/>
  <c r="O66" i="39"/>
  <c r="AR66" i="39"/>
  <c r="AD66" i="39"/>
  <c r="N66" i="39"/>
  <c r="AQ66" i="39"/>
  <c r="AA66" i="39"/>
  <c r="M66" i="39"/>
  <c r="AP66" i="39"/>
  <c r="Z66" i="39"/>
  <c r="L66" i="39"/>
  <c r="AO66" i="39"/>
  <c r="Y66" i="39"/>
  <c r="AN66" i="39"/>
  <c r="Q66" i="39"/>
  <c r="AM66" i="39"/>
  <c r="P66" i="39"/>
  <c r="AL66" i="39"/>
  <c r="K66" i="39"/>
  <c r="AG66" i="39"/>
  <c r="F66" i="39"/>
  <c r="AF66" i="39"/>
  <c r="E66" i="39"/>
  <c r="J45" i="39"/>
  <c r="AT45" i="39"/>
  <c r="G59" i="39"/>
  <c r="AO60" i="39"/>
  <c r="AA60" i="39"/>
  <c r="O60" i="39"/>
  <c r="AN60" i="39"/>
  <c r="Z60" i="39"/>
  <c r="N60" i="39"/>
  <c r="AT60" i="39"/>
  <c r="AF60" i="39"/>
  <c r="P60" i="39"/>
  <c r="AS60" i="39"/>
  <c r="AE60" i="39"/>
  <c r="M60" i="39"/>
  <c r="AR60" i="39"/>
  <c r="AD60" i="39"/>
  <c r="L60" i="39"/>
  <c r="AQ60" i="39"/>
  <c r="Y60" i="39"/>
  <c r="K60" i="39"/>
  <c r="AL60" i="39"/>
  <c r="R60" i="39"/>
  <c r="AK60" i="39"/>
  <c r="Q60" i="39"/>
  <c r="AJ60" i="39"/>
  <c r="J60" i="39"/>
  <c r="AG60" i="39"/>
  <c r="G60" i="39"/>
  <c r="X60" i="39"/>
  <c r="F60" i="39"/>
  <c r="AP60" i="39"/>
  <c r="W62" i="39"/>
  <c r="G66" i="39"/>
  <c r="L45" i="39"/>
  <c r="H59" i="39"/>
  <c r="E60" i="39"/>
  <c r="AU60" i="39"/>
  <c r="AH62" i="39"/>
  <c r="J66" i="39"/>
  <c r="X41" i="39"/>
  <c r="Q45" i="39"/>
  <c r="R59" i="39"/>
  <c r="H60" i="39"/>
  <c r="AI62" i="39"/>
  <c r="X63" i="39"/>
  <c r="R66" i="39"/>
  <c r="S59" i="39"/>
  <c r="I60" i="39"/>
  <c r="AT61" i="39"/>
  <c r="AH61" i="39"/>
  <c r="T61" i="39"/>
  <c r="H61" i="39"/>
  <c r="AS61" i="39"/>
  <c r="AG61" i="39"/>
  <c r="S61" i="39"/>
  <c r="G61" i="39"/>
  <c r="AU61" i="39"/>
  <c r="AE61" i="39"/>
  <c r="O61" i="39"/>
  <c r="AR61" i="39"/>
  <c r="AD61" i="39"/>
  <c r="N61" i="39"/>
  <c r="AQ61" i="39"/>
  <c r="AA61" i="39"/>
  <c r="M61" i="39"/>
  <c r="AP61" i="39"/>
  <c r="Z61" i="39"/>
  <c r="L61" i="39"/>
  <c r="AM61" i="39"/>
  <c r="Q61" i="39"/>
  <c r="AL61" i="39"/>
  <c r="P61" i="39"/>
  <c r="AK61" i="39"/>
  <c r="K61" i="39"/>
  <c r="AF61" i="39"/>
  <c r="F61" i="39"/>
  <c r="Y61" i="39"/>
  <c r="E61" i="39"/>
  <c r="S66" i="39"/>
  <c r="AK45" i="39"/>
  <c r="W45" i="39"/>
  <c r="K45" i="39"/>
  <c r="AR45" i="39"/>
  <c r="AE45" i="39"/>
  <c r="P45" i="39"/>
  <c r="AQ45" i="39"/>
  <c r="AD45" i="39"/>
  <c r="O45" i="39"/>
  <c r="AP45" i="39"/>
  <c r="AA45" i="39"/>
  <c r="N45" i="39"/>
  <c r="AO45" i="39"/>
  <c r="Z45" i="39"/>
  <c r="M45" i="39"/>
  <c r="AF45" i="39"/>
  <c r="H45" i="39"/>
  <c r="Y45" i="39"/>
  <c r="G45" i="39"/>
  <c r="AU45" i="39"/>
  <c r="X45" i="39"/>
  <c r="F45" i="39"/>
  <c r="AN45" i="39"/>
  <c r="T45" i="39"/>
  <c r="AM45" i="39"/>
  <c r="S45" i="39"/>
  <c r="AJ45" i="39"/>
  <c r="E45" i="39"/>
  <c r="AL45" i="39"/>
  <c r="U45" i="39"/>
  <c r="T59" i="39"/>
  <c r="AM62" i="39"/>
  <c r="Y62" i="39"/>
  <c r="M62" i="39"/>
  <c r="AL62" i="39"/>
  <c r="X62" i="39"/>
  <c r="L62" i="39"/>
  <c r="AT62" i="39"/>
  <c r="AF62" i="39"/>
  <c r="P62" i="39"/>
  <c r="N62" i="39"/>
  <c r="AS62" i="39"/>
  <c r="AE62" i="39"/>
  <c r="O62" i="39"/>
  <c r="AR62" i="39"/>
  <c r="AD62" i="39"/>
  <c r="AQ62" i="39"/>
  <c r="AA62" i="39"/>
  <c r="K62" i="39"/>
  <c r="AN62" i="39"/>
  <c r="R62" i="39"/>
  <c r="AK62" i="39"/>
  <c r="Q62" i="39"/>
  <c r="AJ62" i="39"/>
  <c r="J62" i="39"/>
  <c r="AG62" i="39"/>
  <c r="G62" i="39"/>
  <c r="Z62" i="39"/>
  <c r="F62" i="39"/>
  <c r="AP62" i="39"/>
  <c r="V66" i="39"/>
  <c r="V45" i="39"/>
  <c r="W59" i="39"/>
  <c r="T60" i="39"/>
  <c r="E62" i="39"/>
  <c r="AU62" i="39"/>
  <c r="W66" i="39"/>
  <c r="AK41" i="39"/>
  <c r="W41" i="39"/>
  <c r="K41" i="39"/>
  <c r="AU41" i="39"/>
  <c r="AJ41" i="39"/>
  <c r="V41" i="39"/>
  <c r="J41" i="39"/>
  <c r="AI41" i="39"/>
  <c r="U41" i="39"/>
  <c r="I41" i="39"/>
  <c r="AT41" i="39"/>
  <c r="AH41" i="39"/>
  <c r="T41" i="39"/>
  <c r="H41" i="39"/>
  <c r="AL41" i="39"/>
  <c r="P41" i="39"/>
  <c r="AG41" i="39"/>
  <c r="O41" i="39"/>
  <c r="AF41" i="39"/>
  <c r="AS41" i="39"/>
  <c r="AA41" i="39"/>
  <c r="G41" i="39"/>
  <c r="AR41" i="39"/>
  <c r="Z41" i="39"/>
  <c r="F41" i="39"/>
  <c r="AM41" i="39"/>
  <c r="AG45" i="39"/>
  <c r="X59" i="39"/>
  <c r="U60" i="39"/>
  <c r="H62" i="39"/>
  <c r="X66" i="39"/>
  <c r="E41" i="39"/>
  <c r="AN41" i="39"/>
  <c r="AH45" i="39"/>
  <c r="AG59" i="39"/>
  <c r="V60" i="39"/>
  <c r="I62" i="39"/>
  <c r="AR63" i="39"/>
  <c r="AF63" i="39"/>
  <c r="R63" i="39"/>
  <c r="F63" i="39"/>
  <c r="AQ63" i="39"/>
  <c r="AE63" i="39"/>
  <c r="Q63" i="39"/>
  <c r="E63" i="39"/>
  <c r="AU63" i="39"/>
  <c r="AG63" i="39"/>
  <c r="O63" i="39"/>
  <c r="AT63" i="39"/>
  <c r="AD63" i="39"/>
  <c r="N63" i="39"/>
  <c r="AS63" i="39"/>
  <c r="AA63" i="39"/>
  <c r="M63" i="39"/>
  <c r="AP63" i="39"/>
  <c r="Z63" i="39"/>
  <c r="L63" i="39"/>
  <c r="AM63" i="39"/>
  <c r="S63" i="39"/>
  <c r="AL63" i="39"/>
  <c r="P63" i="39"/>
  <c r="AK63" i="39"/>
  <c r="K63" i="39"/>
  <c r="AH63" i="39"/>
  <c r="H63" i="39"/>
  <c r="Y63" i="39"/>
  <c r="G63" i="39"/>
  <c r="AJ66" i="39"/>
  <c r="L41" i="39"/>
  <c r="AO41" i="39"/>
  <c r="AI45" i="39"/>
  <c r="AJ52" i="39"/>
  <c r="V52" i="39"/>
  <c r="J52" i="39"/>
  <c r="AQ52" i="39"/>
  <c r="AD52" i="39"/>
  <c r="O52" i="39"/>
  <c r="Z52" i="39"/>
  <c r="AP52" i="39"/>
  <c r="AA52" i="39"/>
  <c r="N52" i="39"/>
  <c r="AO52" i="39"/>
  <c r="M52" i="39"/>
  <c r="AN52" i="39"/>
  <c r="Y52" i="39"/>
  <c r="L52" i="39"/>
  <c r="AE52" i="39"/>
  <c r="G52" i="39"/>
  <c r="AU52" i="39"/>
  <c r="X52" i="39"/>
  <c r="F52" i="39"/>
  <c r="AT52" i="39"/>
  <c r="W52" i="39"/>
  <c r="E52" i="39"/>
  <c r="AM52" i="39"/>
  <c r="S52" i="39"/>
  <c r="AL52" i="39"/>
  <c r="R52" i="39"/>
  <c r="AK52" i="39"/>
  <c r="AH59" i="39"/>
  <c r="W60" i="39"/>
  <c r="S62" i="39"/>
  <c r="I63" i="39"/>
  <c r="AK64" i="39"/>
  <c r="W64" i="39"/>
  <c r="K64" i="39"/>
  <c r="AJ64" i="39"/>
  <c r="V64" i="39"/>
  <c r="J64" i="39"/>
  <c r="AT64" i="39"/>
  <c r="AF64" i="39"/>
  <c r="P64" i="39"/>
  <c r="AS64" i="39"/>
  <c r="AE64" i="39"/>
  <c r="O64" i="39"/>
  <c r="AR64" i="39"/>
  <c r="AD64" i="39"/>
  <c r="N64" i="39"/>
  <c r="AQ64" i="39"/>
  <c r="AA64" i="39"/>
  <c r="M64" i="39"/>
  <c r="AN64" i="39"/>
  <c r="R64" i="39"/>
  <c r="AM64" i="39"/>
  <c r="Q64" i="39"/>
  <c r="AL64" i="39"/>
  <c r="L64" i="39"/>
  <c r="AG64" i="39"/>
  <c r="G64" i="39"/>
  <c r="Z64" i="39"/>
  <c r="F64" i="39"/>
  <c r="AP64" i="39"/>
  <c r="AK66" i="39"/>
  <c r="Q50" i="39"/>
  <c r="AO50" i="39"/>
  <c r="Q57" i="39"/>
  <c r="AO57" i="39"/>
  <c r="AS49" i="39"/>
  <c r="AG49" i="39"/>
  <c r="S49" i="39"/>
  <c r="G49" i="39"/>
  <c r="AO49" i="39"/>
  <c r="Z49" i="39"/>
  <c r="M49" i="39"/>
  <c r="AN49" i="39"/>
  <c r="Y49" i="39"/>
  <c r="L49" i="39"/>
  <c r="AM49" i="39"/>
  <c r="X49" i="39"/>
  <c r="K49" i="39"/>
  <c r="AL49" i="39"/>
  <c r="W49" i="39"/>
  <c r="J49" i="39"/>
  <c r="V49" i="39"/>
  <c r="AT49" i="39"/>
  <c r="R50" i="39"/>
  <c r="AR56" i="39"/>
  <c r="AF56" i="39"/>
  <c r="R56" i="39"/>
  <c r="F56" i="39"/>
  <c r="AO56" i="39"/>
  <c r="Z56" i="39"/>
  <c r="M56" i="39"/>
  <c r="AM56" i="39"/>
  <c r="AN56" i="39"/>
  <c r="Y56" i="39"/>
  <c r="L56" i="39"/>
  <c r="X56" i="39"/>
  <c r="K56" i="39"/>
  <c r="AL56" i="39"/>
  <c r="W56" i="39"/>
  <c r="J56" i="39"/>
  <c r="V56" i="39"/>
  <c r="AT56" i="39"/>
  <c r="R57" i="39"/>
  <c r="AL50" i="39"/>
  <c r="X50" i="39"/>
  <c r="L50" i="39"/>
  <c r="AK50" i="39"/>
  <c r="V50" i="39"/>
  <c r="I50" i="39"/>
  <c r="AJ50" i="39"/>
  <c r="U50" i="39"/>
  <c r="H50" i="39"/>
  <c r="AI50" i="39"/>
  <c r="T50" i="39"/>
  <c r="G50" i="39"/>
  <c r="AU50" i="39"/>
  <c r="AH50" i="39"/>
  <c r="S50" i="39"/>
  <c r="F50" i="39"/>
  <c r="Z50" i="39"/>
  <c r="AS50" i="39"/>
  <c r="AK57" i="39"/>
  <c r="W57" i="39"/>
  <c r="K57" i="39"/>
  <c r="AL57" i="39"/>
  <c r="V57" i="39"/>
  <c r="I57" i="39"/>
  <c r="AI57" i="39"/>
  <c r="AJ57" i="39"/>
  <c r="U57" i="39"/>
  <c r="H57" i="39"/>
  <c r="T57" i="39"/>
  <c r="G57" i="39"/>
  <c r="AU57" i="39"/>
  <c r="AH57" i="39"/>
  <c r="S57" i="39"/>
  <c r="F57" i="39"/>
  <c r="Z57" i="39"/>
  <c r="AS57" i="39"/>
  <c r="E50" i="39"/>
  <c r="AA50" i="39"/>
  <c r="AT50" i="39"/>
  <c r="E57" i="39"/>
  <c r="AA57" i="39"/>
  <c r="AT57" i="39"/>
  <c r="AM43" i="39"/>
  <c r="Y43" i="39"/>
  <c r="M43" i="39"/>
  <c r="AL43" i="39"/>
  <c r="W43" i="39"/>
  <c r="J43" i="39"/>
  <c r="AK43" i="39"/>
  <c r="V43" i="39"/>
  <c r="I43" i="39"/>
  <c r="AJ43" i="39"/>
  <c r="U43" i="39"/>
  <c r="H43" i="39"/>
  <c r="AI43" i="39"/>
  <c r="T43" i="39"/>
  <c r="G43" i="39"/>
  <c r="Z43" i="39"/>
  <c r="AS43" i="39"/>
  <c r="N49" i="39"/>
  <c r="AH49" i="39"/>
  <c r="J50" i="39"/>
  <c r="AD50" i="39"/>
  <c r="AO53" i="39"/>
  <c r="AA53" i="39"/>
  <c r="O53" i="39"/>
  <c r="AM53" i="39"/>
  <c r="X53" i="39"/>
  <c r="K53" i="39"/>
  <c r="V53" i="39"/>
  <c r="I53" i="39"/>
  <c r="AL53" i="39"/>
  <c r="W53" i="39"/>
  <c r="J53" i="39"/>
  <c r="AK53" i="39"/>
  <c r="AJ53" i="39"/>
  <c r="U53" i="39"/>
  <c r="H53" i="39"/>
  <c r="Y53" i="39"/>
  <c r="AS53" i="39"/>
  <c r="N56" i="39"/>
  <c r="AH56" i="39"/>
  <c r="J57" i="39"/>
  <c r="AD57" i="39"/>
  <c r="AU47" i="39"/>
  <c r="AI47" i="39"/>
  <c r="U47" i="39"/>
  <c r="I47" i="39"/>
  <c r="Q47" i="39"/>
  <c r="AF47" i="39"/>
  <c r="AS47" i="39"/>
  <c r="AT54" i="39"/>
  <c r="AH54" i="39"/>
  <c r="T54" i="39"/>
  <c r="H54" i="39"/>
  <c r="Q54" i="39"/>
  <c r="AF54" i="39"/>
  <c r="AS54" i="39"/>
  <c r="AR44" i="39"/>
  <c r="AF44" i="39"/>
  <c r="R44" i="39"/>
  <c r="F44" i="39"/>
  <c r="Q44" i="39"/>
  <c r="AG44" i="39"/>
  <c r="AT44" i="39"/>
  <c r="E47" i="39"/>
  <c r="R47" i="39"/>
  <c r="AG47" i="39"/>
  <c r="AT47" i="39"/>
  <c r="E44" i="39"/>
  <c r="S44" i="39"/>
  <c r="AH44" i="39"/>
  <c r="AU44" i="39"/>
  <c r="F47" i="39"/>
  <c r="S47" i="39"/>
  <c r="AH47" i="39"/>
  <c r="AQ51" i="39"/>
  <c r="AE51" i="39"/>
  <c r="Q51" i="39"/>
  <c r="E51" i="39"/>
  <c r="R51" i="39"/>
  <c r="AG51" i="39"/>
  <c r="AT51" i="39"/>
  <c r="F54" i="39"/>
  <c r="S54" i="39"/>
  <c r="AI54" i="39"/>
  <c r="E54" i="39"/>
  <c r="R54" i="39"/>
  <c r="AG54" i="39"/>
  <c r="AU54" i="39"/>
  <c r="P42" i="39"/>
  <c r="AD42" i="39"/>
  <c r="AP42" i="39"/>
  <c r="G44" i="39"/>
  <c r="T44" i="39"/>
  <c r="AI44" i="39"/>
  <c r="G47" i="39"/>
  <c r="T47" i="39"/>
  <c r="AJ47" i="39"/>
  <c r="AN48" i="39"/>
  <c r="Z48" i="39"/>
  <c r="N48" i="39"/>
  <c r="Q48" i="39"/>
  <c r="AF48" i="39"/>
  <c r="AS48" i="39"/>
  <c r="F51" i="39"/>
  <c r="S51" i="39"/>
  <c r="AH51" i="39"/>
  <c r="AU51" i="39"/>
  <c r="G54" i="39"/>
  <c r="U54" i="39"/>
  <c r="AJ54" i="39"/>
  <c r="AM55" i="39"/>
  <c r="Y55" i="39"/>
  <c r="M55" i="39"/>
  <c r="Q55" i="39"/>
  <c r="AF55" i="39"/>
  <c r="AS55" i="39"/>
  <c r="P46" i="39"/>
  <c r="AD46" i="39"/>
  <c r="P58" i="39"/>
  <c r="AD58" i="39"/>
  <c r="O65" i="39"/>
  <c r="AA65" i="39"/>
  <c r="AO65" i="39"/>
  <c r="P65" i="39"/>
  <c r="AD65" i="39"/>
  <c r="AO41" i="40"/>
  <c r="AA41" i="40"/>
  <c r="O41" i="40"/>
  <c r="C41" i="40"/>
  <c r="AN41" i="40"/>
  <c r="Z41" i="40"/>
  <c r="N41" i="40"/>
  <c r="AM41" i="40"/>
  <c r="Y41" i="40"/>
  <c r="M41" i="40"/>
  <c r="AL41" i="40"/>
  <c r="X41" i="40"/>
  <c r="L41" i="40"/>
  <c r="AK41" i="40"/>
  <c r="W41" i="40"/>
  <c r="K41" i="40"/>
  <c r="AQ41" i="40"/>
  <c r="AE41" i="40"/>
  <c r="Q41" i="40"/>
  <c r="E41" i="40"/>
  <c r="AD41" i="40"/>
  <c r="AO44" i="40"/>
  <c r="AA44" i="40"/>
  <c r="O44" i="40"/>
  <c r="AM44" i="40"/>
  <c r="X44" i="40"/>
  <c r="K44" i="40"/>
  <c r="AL44" i="40"/>
  <c r="W44" i="40"/>
  <c r="J44" i="40"/>
  <c r="AK44" i="40"/>
  <c r="V44" i="40"/>
  <c r="I44" i="40"/>
  <c r="AJ44" i="40"/>
  <c r="U44" i="40"/>
  <c r="H44" i="40"/>
  <c r="AI44" i="40"/>
  <c r="T44" i="40"/>
  <c r="G44" i="40"/>
  <c r="AU44" i="40"/>
  <c r="AH44" i="40"/>
  <c r="S44" i="40"/>
  <c r="F44" i="40"/>
  <c r="AP44" i="40"/>
  <c r="Z44" i="40"/>
  <c r="M44" i="40"/>
  <c r="AN44" i="40"/>
  <c r="F41" i="40"/>
  <c r="AF41" i="40"/>
  <c r="E44" i="40"/>
  <c r="AQ44" i="40"/>
  <c r="AL53" i="40"/>
  <c r="X53" i="40"/>
  <c r="L53" i="40"/>
  <c r="AR53" i="40"/>
  <c r="AE53" i="40"/>
  <c r="P53" i="40"/>
  <c r="AQ53" i="40"/>
  <c r="AD53" i="40"/>
  <c r="O53" i="40"/>
  <c r="AP53" i="40"/>
  <c r="AA53" i="40"/>
  <c r="N53" i="40"/>
  <c r="AO53" i="40"/>
  <c r="Z53" i="40"/>
  <c r="M53" i="40"/>
  <c r="AN53" i="40"/>
  <c r="Y53" i="40"/>
  <c r="K53" i="40"/>
  <c r="AM53" i="40"/>
  <c r="W53" i="40"/>
  <c r="J53" i="40"/>
  <c r="AT53" i="40"/>
  <c r="AG53" i="40"/>
  <c r="R53" i="40"/>
  <c r="E53" i="40"/>
  <c r="AI53" i="40"/>
  <c r="AM58" i="40"/>
  <c r="Y58" i="40"/>
  <c r="M58" i="40"/>
  <c r="AL58" i="40"/>
  <c r="W58" i="40"/>
  <c r="J58" i="40"/>
  <c r="AK58" i="40"/>
  <c r="V58" i="40"/>
  <c r="I58" i="40"/>
  <c r="AJ58" i="40"/>
  <c r="U58" i="40"/>
  <c r="H58" i="40"/>
  <c r="AI58" i="40"/>
  <c r="T58" i="40"/>
  <c r="G58" i="40"/>
  <c r="AU58" i="40"/>
  <c r="AH58" i="40"/>
  <c r="S58" i="40"/>
  <c r="F58" i="40"/>
  <c r="AT58" i="40"/>
  <c r="AG58" i="40"/>
  <c r="R58" i="40"/>
  <c r="E58" i="40"/>
  <c r="AO58" i="40"/>
  <c r="Z58" i="40"/>
  <c r="L58" i="40"/>
  <c r="AN58" i="40"/>
  <c r="X58" i="40"/>
  <c r="K58" i="40"/>
  <c r="AS58" i="40"/>
  <c r="G41" i="40"/>
  <c r="AG41" i="40"/>
  <c r="L44" i="40"/>
  <c r="AR44" i="40"/>
  <c r="F53" i="40"/>
  <c r="AJ53" i="40"/>
  <c r="N58" i="40"/>
  <c r="H41" i="40"/>
  <c r="AH41" i="40"/>
  <c r="N44" i="40"/>
  <c r="AS44" i="40"/>
  <c r="AN51" i="40"/>
  <c r="Z51" i="40"/>
  <c r="N51" i="40"/>
  <c r="AL51" i="40"/>
  <c r="W51" i="40"/>
  <c r="J51" i="40"/>
  <c r="AK51" i="40"/>
  <c r="V51" i="40"/>
  <c r="I51" i="40"/>
  <c r="AJ51" i="40"/>
  <c r="U51" i="40"/>
  <c r="H51" i="40"/>
  <c r="AI51" i="40"/>
  <c r="T51" i="40"/>
  <c r="G51" i="40"/>
  <c r="AU51" i="40"/>
  <c r="AH51" i="40"/>
  <c r="S51" i="40"/>
  <c r="F51" i="40"/>
  <c r="AT51" i="40"/>
  <c r="AG51" i="40"/>
  <c r="R51" i="40"/>
  <c r="E51" i="40"/>
  <c r="AO51" i="40"/>
  <c r="Y51" i="40"/>
  <c r="L51" i="40"/>
  <c r="AP51" i="40"/>
  <c r="G53" i="40"/>
  <c r="AK53" i="40"/>
  <c r="O58" i="40"/>
  <c r="I41" i="40"/>
  <c r="AI41" i="40"/>
  <c r="P44" i="40"/>
  <c r="AT44" i="40"/>
  <c r="K51" i="40"/>
  <c r="AQ51" i="40"/>
  <c r="H53" i="40"/>
  <c r="AS53" i="40"/>
  <c r="P58" i="40"/>
  <c r="J41" i="40"/>
  <c r="AJ41" i="40"/>
  <c r="M51" i="40"/>
  <c r="AR51" i="40"/>
  <c r="I53" i="40"/>
  <c r="AU53" i="40"/>
  <c r="Q58" i="40"/>
  <c r="P41" i="40"/>
  <c r="AP41" i="40"/>
  <c r="R44" i="40"/>
  <c r="AD50" i="40"/>
  <c r="O51" i="40"/>
  <c r="AS51" i="40"/>
  <c r="Q53" i="40"/>
  <c r="AF57" i="40"/>
  <c r="AA58" i="40"/>
  <c r="AF64" i="40"/>
  <c r="R41" i="40"/>
  <c r="AR41" i="40"/>
  <c r="Y44" i="40"/>
  <c r="AR47" i="40"/>
  <c r="AF47" i="40"/>
  <c r="R47" i="40"/>
  <c r="F47" i="40"/>
  <c r="AO47" i="40"/>
  <c r="Z47" i="40"/>
  <c r="M47" i="40"/>
  <c r="AN47" i="40"/>
  <c r="Y47" i="40"/>
  <c r="L47" i="40"/>
  <c r="AM47" i="40"/>
  <c r="X47" i="40"/>
  <c r="K47" i="40"/>
  <c r="AL47" i="40"/>
  <c r="W47" i="40"/>
  <c r="J47" i="40"/>
  <c r="AK47" i="40"/>
  <c r="V47" i="40"/>
  <c r="I47" i="40"/>
  <c r="AJ47" i="40"/>
  <c r="U47" i="40"/>
  <c r="H47" i="40"/>
  <c r="AQ47" i="40"/>
  <c r="AD47" i="40"/>
  <c r="O47" i="40"/>
  <c r="AI47" i="40"/>
  <c r="AF50" i="40"/>
  <c r="P51" i="40"/>
  <c r="S53" i="40"/>
  <c r="AQ54" i="40"/>
  <c r="AE54" i="40"/>
  <c r="Q54" i="40"/>
  <c r="E54" i="40"/>
  <c r="AN54" i="40"/>
  <c r="Y54" i="40"/>
  <c r="L54" i="40"/>
  <c r="AM54" i="40"/>
  <c r="X54" i="40"/>
  <c r="K54" i="40"/>
  <c r="AL54" i="40"/>
  <c r="W54" i="40"/>
  <c r="J54" i="40"/>
  <c r="AK54" i="40"/>
  <c r="V54" i="40"/>
  <c r="I54" i="40"/>
  <c r="AJ54" i="40"/>
  <c r="U54" i="40"/>
  <c r="H54" i="40"/>
  <c r="AI54" i="40"/>
  <c r="T54" i="40"/>
  <c r="G54" i="40"/>
  <c r="AP54" i="40"/>
  <c r="AA54" i="40"/>
  <c r="N54" i="40"/>
  <c r="AO54" i="40"/>
  <c r="AG57" i="40"/>
  <c r="AD58" i="40"/>
  <c r="AH64" i="40"/>
  <c r="S41" i="40"/>
  <c r="AS41" i="40"/>
  <c r="AD44" i="40"/>
  <c r="Q51" i="40"/>
  <c r="T53" i="40"/>
  <c r="AE58" i="40"/>
  <c r="T41" i="40"/>
  <c r="AT41" i="40"/>
  <c r="AE44" i="40"/>
  <c r="AU50" i="40"/>
  <c r="AI50" i="40"/>
  <c r="U50" i="40"/>
  <c r="I50" i="40"/>
  <c r="AP50" i="40"/>
  <c r="AA50" i="40"/>
  <c r="N50" i="40"/>
  <c r="AO50" i="40"/>
  <c r="Z50" i="40"/>
  <c r="M50" i="40"/>
  <c r="AN50" i="40"/>
  <c r="Y50" i="40"/>
  <c r="L50" i="40"/>
  <c r="AM50" i="40"/>
  <c r="X50" i="40"/>
  <c r="K50" i="40"/>
  <c r="AL50" i="40"/>
  <c r="W50" i="40"/>
  <c r="J50" i="40"/>
  <c r="AK50" i="40"/>
  <c r="V50" i="40"/>
  <c r="H50" i="40"/>
  <c r="AR50" i="40"/>
  <c r="AE50" i="40"/>
  <c r="P50" i="40"/>
  <c r="AH50" i="40"/>
  <c r="X51" i="40"/>
  <c r="U53" i="40"/>
  <c r="AT57" i="40"/>
  <c r="AH57" i="40"/>
  <c r="T57" i="40"/>
  <c r="H57" i="40"/>
  <c r="AP57" i="40"/>
  <c r="AA57" i="40"/>
  <c r="N57" i="40"/>
  <c r="AO57" i="40"/>
  <c r="Z57" i="40"/>
  <c r="M57" i="40"/>
  <c r="AN57" i="40"/>
  <c r="Y57" i="40"/>
  <c r="L57" i="40"/>
  <c r="AM57" i="40"/>
  <c r="X57" i="40"/>
  <c r="K57" i="40"/>
  <c r="AL57" i="40"/>
  <c r="W57" i="40"/>
  <c r="J57" i="40"/>
  <c r="AK57" i="40"/>
  <c r="V57" i="40"/>
  <c r="I57" i="40"/>
  <c r="AR57" i="40"/>
  <c r="AE57" i="40"/>
  <c r="P57" i="40"/>
  <c r="AQ57" i="40"/>
  <c r="AD57" i="40"/>
  <c r="AJ57" i="40"/>
  <c r="AF58" i="40"/>
  <c r="Q44" i="40"/>
  <c r="U41" i="40"/>
  <c r="AU41" i="40"/>
  <c r="AF44" i="40"/>
  <c r="E50" i="40"/>
  <c r="AJ50" i="40"/>
  <c r="AA51" i="40"/>
  <c r="V53" i="40"/>
  <c r="E57" i="40"/>
  <c r="AS57" i="40"/>
  <c r="AP58" i="40"/>
  <c r="AS64" i="40"/>
  <c r="AG64" i="40"/>
  <c r="S64" i="40"/>
  <c r="G64" i="40"/>
  <c r="AO64" i="40"/>
  <c r="Z64" i="40"/>
  <c r="M64" i="40"/>
  <c r="AN64" i="40"/>
  <c r="Y64" i="40"/>
  <c r="L64" i="40"/>
  <c r="AM64" i="40"/>
  <c r="X64" i="40"/>
  <c r="K64" i="40"/>
  <c r="AL64" i="40"/>
  <c r="W64" i="40"/>
  <c r="J64" i="40"/>
  <c r="AK64" i="40"/>
  <c r="V64" i="40"/>
  <c r="I64" i="40"/>
  <c r="AJ64" i="40"/>
  <c r="U64" i="40"/>
  <c r="H64" i="40"/>
  <c r="AQ64" i="40"/>
  <c r="AD64" i="40"/>
  <c r="O64" i="40"/>
  <c r="AP64" i="40"/>
  <c r="AA64" i="40"/>
  <c r="N64" i="40"/>
  <c r="AT64" i="40"/>
  <c r="V41" i="40"/>
  <c r="AG44" i="40"/>
  <c r="P47" i="40"/>
  <c r="AU47" i="40"/>
  <c r="F50" i="40"/>
  <c r="AQ50" i="40"/>
  <c r="AD51" i="40"/>
  <c r="AF53" i="40"/>
  <c r="P54" i="40"/>
  <c r="AU54" i="40"/>
  <c r="F57" i="40"/>
  <c r="AU57" i="40"/>
  <c r="AQ58" i="40"/>
  <c r="E64" i="40"/>
  <c r="AU64" i="40"/>
  <c r="AK60" i="40"/>
  <c r="W60" i="40"/>
  <c r="K60" i="40"/>
  <c r="Q60" i="40"/>
  <c r="AF60" i="40"/>
  <c r="AS60" i="40"/>
  <c r="AJ43" i="40"/>
  <c r="V43" i="40"/>
  <c r="J43" i="40"/>
  <c r="Q43" i="40"/>
  <c r="AF43" i="40"/>
  <c r="AS43" i="40"/>
  <c r="J45" i="40"/>
  <c r="W45" i="40"/>
  <c r="AL45" i="40"/>
  <c r="F46" i="40"/>
  <c r="S46" i="40"/>
  <c r="AH46" i="40"/>
  <c r="AU46" i="40"/>
  <c r="L48" i="40"/>
  <c r="Y48" i="40"/>
  <c r="I52" i="40"/>
  <c r="V52" i="40"/>
  <c r="AK52" i="40"/>
  <c r="G56" i="40"/>
  <c r="T56" i="40"/>
  <c r="AI56" i="40"/>
  <c r="I59" i="40"/>
  <c r="V59" i="40"/>
  <c r="AK59" i="40"/>
  <c r="E60" i="40"/>
  <c r="R60" i="40"/>
  <c r="AG60" i="40"/>
  <c r="AT60" i="40"/>
  <c r="J62" i="40"/>
  <c r="W62" i="40"/>
  <c r="AL62" i="40"/>
  <c r="F63" i="40"/>
  <c r="S63" i="40"/>
  <c r="AH63" i="40"/>
  <c r="AU63" i="40"/>
  <c r="K65" i="40"/>
  <c r="Y65" i="40"/>
  <c r="H66" i="40"/>
  <c r="U66" i="40"/>
  <c r="AJ66" i="40"/>
  <c r="AK48" i="40"/>
  <c r="W48" i="40"/>
  <c r="K48" i="40"/>
  <c r="Q48" i="40"/>
  <c r="AF48" i="40"/>
  <c r="AS48" i="40"/>
  <c r="J60" i="40"/>
  <c r="X60" i="40"/>
  <c r="AM60" i="40"/>
  <c r="AL65" i="40"/>
  <c r="X65" i="40"/>
  <c r="L65" i="40"/>
  <c r="Q65" i="40"/>
  <c r="AF65" i="40"/>
  <c r="AS65" i="40"/>
  <c r="P42" i="40"/>
  <c r="AD42" i="40"/>
  <c r="AP42" i="40"/>
  <c r="K43" i="40"/>
  <c r="X43" i="40"/>
  <c r="AM43" i="40"/>
  <c r="P45" i="40"/>
  <c r="AE45" i="40"/>
  <c r="L46" i="40"/>
  <c r="Z46" i="40"/>
  <c r="AO46" i="40"/>
  <c r="E48" i="40"/>
  <c r="R48" i="40"/>
  <c r="AG48" i="40"/>
  <c r="AT48" i="40"/>
  <c r="O52" i="40"/>
  <c r="AD52" i="40"/>
  <c r="AJ55" i="40"/>
  <c r="V55" i="40"/>
  <c r="J55" i="40"/>
  <c r="Q55" i="40"/>
  <c r="AF55" i="40"/>
  <c r="AS55" i="40"/>
  <c r="M56" i="40"/>
  <c r="Z56" i="40"/>
  <c r="AP56" i="40"/>
  <c r="O59" i="40"/>
  <c r="AD59" i="40"/>
  <c r="AQ59" i="40"/>
  <c r="L60" i="40"/>
  <c r="Y60" i="40"/>
  <c r="AN60" i="40"/>
  <c r="P62" i="40"/>
  <c r="AE62" i="40"/>
  <c r="L63" i="40"/>
  <c r="Y63" i="40"/>
  <c r="AO63" i="40"/>
  <c r="E65" i="40"/>
  <c r="R65" i="40"/>
  <c r="AG65" i="40"/>
  <c r="AT65" i="40"/>
  <c r="N66" i="40"/>
  <c r="AA66" i="40"/>
  <c r="AP66" i="40"/>
  <c r="AT45" i="40"/>
  <c r="AH45" i="40"/>
  <c r="T45" i="40"/>
  <c r="H45" i="40"/>
  <c r="Q45" i="40"/>
  <c r="AF45" i="40"/>
  <c r="AS45" i="40"/>
  <c r="F48" i="40"/>
  <c r="S48" i="40"/>
  <c r="AH48" i="40"/>
  <c r="AU48" i="40"/>
  <c r="N56" i="40"/>
  <c r="AD56" i="40"/>
  <c r="AQ56" i="40"/>
  <c r="AE59" i="40"/>
  <c r="M60" i="40"/>
  <c r="Z60" i="40"/>
  <c r="AO60" i="40"/>
  <c r="AU62" i="40"/>
  <c r="AI62" i="40"/>
  <c r="U62" i="40"/>
  <c r="I62" i="40"/>
  <c r="Q62" i="40"/>
  <c r="AF62" i="40"/>
  <c r="AS62" i="40"/>
  <c r="M63" i="40"/>
  <c r="AA63" i="40"/>
  <c r="AP63" i="40"/>
  <c r="F65" i="40"/>
  <c r="S65" i="40"/>
  <c r="AH65" i="40"/>
  <c r="AU65" i="40"/>
  <c r="O66" i="40"/>
  <c r="AD66" i="40"/>
  <c r="AR66" i="40"/>
  <c r="E45" i="40"/>
  <c r="R45" i="40"/>
  <c r="AG45" i="40"/>
  <c r="AU45" i="40"/>
  <c r="O46" i="40"/>
  <c r="AD46" i="40"/>
  <c r="G48" i="40"/>
  <c r="T48" i="40"/>
  <c r="AI48" i="40"/>
  <c r="AS52" i="40"/>
  <c r="AG52" i="40"/>
  <c r="S52" i="40"/>
  <c r="G52" i="40"/>
  <c r="Q52" i="40"/>
  <c r="AF52" i="40"/>
  <c r="AT52" i="40"/>
  <c r="P56" i="40"/>
  <c r="AE56" i="40"/>
  <c r="AR59" i="40"/>
  <c r="AF59" i="40"/>
  <c r="R59" i="40"/>
  <c r="F59" i="40"/>
  <c r="Q59" i="40"/>
  <c r="AG59" i="40"/>
  <c r="AT59" i="40"/>
  <c r="N60" i="40"/>
  <c r="AA60" i="40"/>
  <c r="AP60" i="40"/>
  <c r="E62" i="40"/>
  <c r="R62" i="40"/>
  <c r="AG62" i="40"/>
  <c r="AT62" i="40"/>
  <c r="O63" i="40"/>
  <c r="AD63" i="40"/>
  <c r="AQ63" i="40"/>
  <c r="G65" i="40"/>
  <c r="T65" i="40"/>
  <c r="AI65" i="40"/>
  <c r="P66" i="40"/>
  <c r="AF66" i="40"/>
  <c r="H48" i="40"/>
  <c r="U48" i="40"/>
  <c r="AJ48" i="40"/>
  <c r="AO56" i="40"/>
  <c r="AA56" i="40"/>
  <c r="O56" i="40"/>
  <c r="Q56" i="40"/>
  <c r="AF56" i="40"/>
  <c r="AS56" i="40"/>
  <c r="O60" i="40"/>
  <c r="AD60" i="40"/>
  <c r="AQ60" i="40"/>
  <c r="AE63" i="40"/>
  <c r="H65" i="40"/>
  <c r="U65" i="40"/>
  <c r="AJ65" i="40"/>
  <c r="AQ66" i="40"/>
  <c r="AE66" i="40"/>
  <c r="Q66" i="40"/>
  <c r="E66" i="40"/>
  <c r="R66" i="40"/>
  <c r="AG66" i="40"/>
  <c r="AT66" i="40"/>
  <c r="G45" i="40"/>
  <c r="U45" i="40"/>
  <c r="AJ45" i="40"/>
  <c r="AM46" i="40"/>
  <c r="Y46" i="40"/>
  <c r="M46" i="40"/>
  <c r="Q46" i="40"/>
  <c r="AF46" i="40"/>
  <c r="AS46" i="40"/>
  <c r="I48" i="40"/>
  <c r="V48" i="40"/>
  <c r="AL48" i="40"/>
  <c r="E56" i="40"/>
  <c r="R56" i="40"/>
  <c r="AG56" i="40"/>
  <c r="AT56" i="40"/>
  <c r="P60" i="40"/>
  <c r="AE60" i="40"/>
  <c r="AR60" i="40"/>
  <c r="T62" i="40"/>
  <c r="AJ62" i="40"/>
  <c r="AN63" i="40"/>
  <c r="Z63" i="40"/>
  <c r="N63" i="40"/>
  <c r="Q63" i="40"/>
  <c r="AF63" i="40"/>
  <c r="AS63" i="40"/>
  <c r="I65" i="40"/>
  <c r="V65" i="40"/>
  <c r="AK65" i="40"/>
  <c r="F66" i="40"/>
  <c r="S66" i="40"/>
  <c r="AH66" i="40"/>
  <c r="AU66" i="40"/>
  <c r="P49" i="40"/>
  <c r="AD49" i="40"/>
  <c r="P61" i="40"/>
  <c r="AD61" i="40"/>
  <c r="AS52" i="43"/>
  <c r="AG52" i="43"/>
  <c r="S52" i="43"/>
  <c r="G52" i="43"/>
  <c r="AI52" i="43"/>
  <c r="T52" i="43"/>
  <c r="F52" i="43"/>
  <c r="AU52" i="43"/>
  <c r="AH52" i="43"/>
  <c r="R52" i="43"/>
  <c r="E52" i="43"/>
  <c r="AE52" i="43"/>
  <c r="N52" i="43"/>
  <c r="AT52" i="43"/>
  <c r="AD52" i="43"/>
  <c r="M52" i="43"/>
  <c r="AR52" i="43"/>
  <c r="AA52" i="43"/>
  <c r="L52" i="43"/>
  <c r="Y52" i="43"/>
  <c r="H52" i="43"/>
  <c r="Z52" i="43"/>
  <c r="J52" i="43"/>
  <c r="AJ52" i="43"/>
  <c r="AS64" i="43"/>
  <c r="AG64" i="43"/>
  <c r="S64" i="43"/>
  <c r="G64" i="43"/>
  <c r="AO64" i="43"/>
  <c r="Z64" i="43"/>
  <c r="M64" i="43"/>
  <c r="AN64" i="43"/>
  <c r="Y64" i="43"/>
  <c r="L64" i="43"/>
  <c r="AM64" i="43"/>
  <c r="X64" i="43"/>
  <c r="K64" i="43"/>
  <c r="AH64" i="43"/>
  <c r="O64" i="43"/>
  <c r="AF64" i="43"/>
  <c r="N64" i="43"/>
  <c r="AE64" i="43"/>
  <c r="J64" i="43"/>
  <c r="AA64" i="43"/>
  <c r="K52" i="43"/>
  <c r="AK52" i="43"/>
  <c r="E64" i="43"/>
  <c r="AD64" i="43"/>
  <c r="AK48" i="43"/>
  <c r="W48" i="43"/>
  <c r="K48" i="43"/>
  <c r="AL48" i="43"/>
  <c r="V48" i="43"/>
  <c r="I48" i="43"/>
  <c r="AJ48" i="43"/>
  <c r="U48" i="43"/>
  <c r="H48" i="43"/>
  <c r="AQ48" i="43"/>
  <c r="Z48" i="43"/>
  <c r="J48" i="43"/>
  <c r="AO48" i="43"/>
  <c r="AP48" i="43"/>
  <c r="Y48" i="43"/>
  <c r="G48" i="43"/>
  <c r="X48" i="43"/>
  <c r="F48" i="43"/>
  <c r="O52" i="43"/>
  <c r="AL52" i="43"/>
  <c r="E57" i="43"/>
  <c r="X57" i="43"/>
  <c r="AU57" i="43"/>
  <c r="F64" i="43"/>
  <c r="AI64" i="43"/>
  <c r="J41" i="43"/>
  <c r="AE41" i="43"/>
  <c r="E48" i="43"/>
  <c r="AE48" i="43"/>
  <c r="P52" i="43"/>
  <c r="AM52" i="43"/>
  <c r="H64" i="43"/>
  <c r="K41" i="43"/>
  <c r="AF41" i="43"/>
  <c r="AQ42" i="43"/>
  <c r="AU42" i="43"/>
  <c r="AH42" i="43"/>
  <c r="T42" i="43"/>
  <c r="H42" i="43"/>
  <c r="AT42" i="43"/>
  <c r="AG42" i="43"/>
  <c r="S42" i="43"/>
  <c r="G42" i="43"/>
  <c r="AN42" i="43"/>
  <c r="X42" i="43"/>
  <c r="J42" i="43"/>
  <c r="AM42" i="43"/>
  <c r="W42" i="43"/>
  <c r="I42" i="43"/>
  <c r="AL42" i="43"/>
  <c r="V42" i="43"/>
  <c r="F42" i="43"/>
  <c r="Z42" i="43"/>
  <c r="L48" i="43"/>
  <c r="AF48" i="43"/>
  <c r="Q52" i="43"/>
  <c r="AN52" i="43"/>
  <c r="AD57" i="43"/>
  <c r="I64" i="43"/>
  <c r="AK64" i="43"/>
  <c r="L41" i="43"/>
  <c r="AG41" i="43"/>
  <c r="E42" i="43"/>
  <c r="AA42" i="43"/>
  <c r="AO44" i="43"/>
  <c r="AA44" i="43"/>
  <c r="O44" i="43"/>
  <c r="AM44" i="43"/>
  <c r="X44" i="43"/>
  <c r="K44" i="43"/>
  <c r="AL44" i="43"/>
  <c r="W44" i="43"/>
  <c r="J44" i="43"/>
  <c r="AG44" i="43"/>
  <c r="P44" i="43"/>
  <c r="AU44" i="43"/>
  <c r="AF44" i="43"/>
  <c r="N44" i="43"/>
  <c r="AT44" i="43"/>
  <c r="AE44" i="43"/>
  <c r="M44" i="43"/>
  <c r="AS44" i="43"/>
  <c r="M48" i="43"/>
  <c r="AG48" i="43"/>
  <c r="U52" i="43"/>
  <c r="AO52" i="43"/>
  <c r="AH41" i="43"/>
  <c r="AD42" i="43"/>
  <c r="E44" i="43"/>
  <c r="AT45" i="43"/>
  <c r="AH45" i="43"/>
  <c r="T45" i="43"/>
  <c r="H45" i="43"/>
  <c r="AJ45" i="43"/>
  <c r="U45" i="43"/>
  <c r="G45" i="43"/>
  <c r="AI45" i="43"/>
  <c r="S45" i="43"/>
  <c r="F45" i="43"/>
  <c r="AL45" i="43"/>
  <c r="R45" i="43"/>
  <c r="AK45" i="43"/>
  <c r="Q45" i="43"/>
  <c r="AG45" i="43"/>
  <c r="P45" i="43"/>
  <c r="AS45" i="43"/>
  <c r="N48" i="43"/>
  <c r="AH48" i="43"/>
  <c r="V52" i="43"/>
  <c r="AP52" i="43"/>
  <c r="E55" i="43"/>
  <c r="AE55" i="43"/>
  <c r="J57" i="43"/>
  <c r="AF57" i="43"/>
  <c r="AR59" i="43"/>
  <c r="AF59" i="43"/>
  <c r="R59" i="43"/>
  <c r="F59" i="43"/>
  <c r="AI59" i="43"/>
  <c r="T59" i="43"/>
  <c r="G59" i="43"/>
  <c r="AT59" i="43"/>
  <c r="AG59" i="43"/>
  <c r="Q59" i="43"/>
  <c r="AU59" i="43"/>
  <c r="AH59" i="43"/>
  <c r="S59" i="43"/>
  <c r="E59" i="43"/>
  <c r="AA59" i="43"/>
  <c r="K59" i="43"/>
  <c r="AQ59" i="43"/>
  <c r="I59" i="43"/>
  <c r="AS59" i="43"/>
  <c r="Z59" i="43"/>
  <c r="J59" i="43"/>
  <c r="Y59" i="43"/>
  <c r="AE59" i="43"/>
  <c r="Q64" i="43"/>
  <c r="AP64" i="43"/>
  <c r="P41" i="43"/>
  <c r="L42" i="43"/>
  <c r="AE42" i="43"/>
  <c r="F43" i="43"/>
  <c r="F44" i="43"/>
  <c r="Z44" i="43"/>
  <c r="E45" i="43"/>
  <c r="Z45" i="43"/>
  <c r="AU45" i="43"/>
  <c r="O48" i="43"/>
  <c r="AI48" i="43"/>
  <c r="U51" i="43"/>
  <c r="W52" i="43"/>
  <c r="AQ52" i="43"/>
  <c r="F55" i="43"/>
  <c r="K57" i="43"/>
  <c r="H59" i="43"/>
  <c r="AJ59" i="43"/>
  <c r="R64" i="43"/>
  <c r="AQ64" i="43"/>
  <c r="I52" i="43"/>
  <c r="AF52" i="43"/>
  <c r="AO41" i="43"/>
  <c r="AA41" i="43"/>
  <c r="O41" i="43"/>
  <c r="C41" i="43"/>
  <c r="AN41" i="43"/>
  <c r="Z41" i="43"/>
  <c r="N41" i="43"/>
  <c r="AM41" i="43"/>
  <c r="W41" i="43"/>
  <c r="I41" i="43"/>
  <c r="AL41" i="43"/>
  <c r="V41" i="43"/>
  <c r="H41" i="43"/>
  <c r="AK41" i="43"/>
  <c r="U41" i="43"/>
  <c r="G41" i="43"/>
  <c r="X41" i="43"/>
  <c r="AS41" i="43"/>
  <c r="E41" i="43"/>
  <c r="Y41" i="43"/>
  <c r="AT41" i="43"/>
  <c r="AT57" i="43"/>
  <c r="AH57" i="43"/>
  <c r="T57" i="43"/>
  <c r="H57" i="43"/>
  <c r="AP57" i="43"/>
  <c r="AA57" i="43"/>
  <c r="N57" i="43"/>
  <c r="AO57" i="43"/>
  <c r="Z57" i="43"/>
  <c r="M57" i="43"/>
  <c r="AJ57" i="43"/>
  <c r="R57" i="43"/>
  <c r="AI57" i="43"/>
  <c r="Q57" i="43"/>
  <c r="AG57" i="43"/>
  <c r="P57" i="43"/>
  <c r="W57" i="43"/>
  <c r="AS57" i="43"/>
  <c r="F41" i="43"/>
  <c r="AD41" i="43"/>
  <c r="AU41" i="43"/>
  <c r="AD48" i="43"/>
  <c r="F57" i="43"/>
  <c r="Y57" i="43"/>
  <c r="AJ64" i="43"/>
  <c r="G57" i="43"/>
  <c r="AJ43" i="43"/>
  <c r="V43" i="43"/>
  <c r="J43" i="43"/>
  <c r="AQ43" i="43"/>
  <c r="AD43" i="43"/>
  <c r="O43" i="43"/>
  <c r="AP43" i="43"/>
  <c r="AA43" i="43"/>
  <c r="N43" i="43"/>
  <c r="AS43" i="43"/>
  <c r="Z43" i="43"/>
  <c r="K43" i="43"/>
  <c r="AR43" i="43"/>
  <c r="Y43" i="43"/>
  <c r="I43" i="43"/>
  <c r="AO43" i="43"/>
  <c r="X43" i="43"/>
  <c r="H43" i="43"/>
  <c r="W43" i="43"/>
  <c r="V44" i="43"/>
  <c r="AJ55" i="43"/>
  <c r="V55" i="43"/>
  <c r="J55" i="43"/>
  <c r="AK55" i="43"/>
  <c r="U55" i="43"/>
  <c r="H55" i="43"/>
  <c r="AI55" i="43"/>
  <c r="T55" i="43"/>
  <c r="G55" i="43"/>
  <c r="AR55" i="43"/>
  <c r="AA55" i="43"/>
  <c r="L55" i="43"/>
  <c r="AQ55" i="43"/>
  <c r="Z55" i="43"/>
  <c r="K55" i="43"/>
  <c r="AP55" i="43"/>
  <c r="Y55" i="43"/>
  <c r="I55" i="43"/>
  <c r="AD55" i="43"/>
  <c r="I57" i="43"/>
  <c r="AE57" i="43"/>
  <c r="P64" i="43"/>
  <c r="AL64" i="43"/>
  <c r="M41" i="43"/>
  <c r="K42" i="43"/>
  <c r="E43" i="43"/>
  <c r="AE43" i="43"/>
  <c r="Y44" i="43"/>
  <c r="Y45" i="43"/>
  <c r="Q41" i="43"/>
  <c r="AJ41" i="43"/>
  <c r="M42" i="43"/>
  <c r="AF42" i="43"/>
  <c r="G43" i="43"/>
  <c r="AG43" i="43"/>
  <c r="G44" i="43"/>
  <c r="AD44" i="43"/>
  <c r="I45" i="43"/>
  <c r="AA45" i="43"/>
  <c r="P48" i="43"/>
  <c r="AM48" i="43"/>
  <c r="AN51" i="43"/>
  <c r="Z51" i="43"/>
  <c r="N51" i="43"/>
  <c r="AL51" i="43"/>
  <c r="W51" i="43"/>
  <c r="J51" i="43"/>
  <c r="AK51" i="43"/>
  <c r="V51" i="43"/>
  <c r="I51" i="43"/>
  <c r="AR51" i="43"/>
  <c r="AA51" i="43"/>
  <c r="K51" i="43"/>
  <c r="AQ51" i="43"/>
  <c r="Y51" i="43"/>
  <c r="H51" i="43"/>
  <c r="AP51" i="43"/>
  <c r="X51" i="43"/>
  <c r="G51" i="43"/>
  <c r="AD51" i="43"/>
  <c r="X52" i="43"/>
  <c r="M55" i="43"/>
  <c r="AG55" i="43"/>
  <c r="L57" i="43"/>
  <c r="AL57" i="43"/>
  <c r="L59" i="43"/>
  <c r="AK59" i="43"/>
  <c r="T64" i="43"/>
  <c r="AR64" i="43"/>
  <c r="AU50" i="43"/>
  <c r="AI50" i="43"/>
  <c r="U50" i="43"/>
  <c r="I50" i="43"/>
  <c r="AP50" i="43"/>
  <c r="AA50" i="43"/>
  <c r="N50" i="43"/>
  <c r="AO50" i="43"/>
  <c r="Z50" i="43"/>
  <c r="M50" i="43"/>
  <c r="S50" i="43"/>
  <c r="AK50" i="43"/>
  <c r="AQ54" i="43"/>
  <c r="AE54" i="43"/>
  <c r="Q54" i="43"/>
  <c r="E54" i="43"/>
  <c r="AN54" i="43"/>
  <c r="Y54" i="43"/>
  <c r="L54" i="43"/>
  <c r="AM54" i="43"/>
  <c r="X54" i="43"/>
  <c r="K54" i="43"/>
  <c r="T54" i="43"/>
  <c r="AK54" i="43"/>
  <c r="S58" i="43"/>
  <c r="AR47" i="43"/>
  <c r="AF47" i="43"/>
  <c r="R47" i="43"/>
  <c r="F47" i="43"/>
  <c r="AO47" i="43"/>
  <c r="Z47" i="43"/>
  <c r="M47" i="43"/>
  <c r="AN47" i="43"/>
  <c r="Y47" i="43"/>
  <c r="L47" i="43"/>
  <c r="T47" i="43"/>
  <c r="AK47" i="43"/>
  <c r="E50" i="43"/>
  <c r="T50" i="43"/>
  <c r="AL50" i="43"/>
  <c r="F54" i="43"/>
  <c r="U54" i="43"/>
  <c r="AL54" i="43"/>
  <c r="E58" i="43"/>
  <c r="T58" i="43"/>
  <c r="AU62" i="43"/>
  <c r="AI62" i="43"/>
  <c r="U62" i="43"/>
  <c r="I62" i="43"/>
  <c r="AJ62" i="43"/>
  <c r="T62" i="43"/>
  <c r="G62" i="43"/>
  <c r="E62" i="43"/>
  <c r="AH62" i="43"/>
  <c r="S62" i="43"/>
  <c r="F62" i="43"/>
  <c r="AT62" i="43"/>
  <c r="AG62" i="43"/>
  <c r="R62" i="43"/>
  <c r="X62" i="43"/>
  <c r="AP62" i="43"/>
  <c r="AL65" i="43"/>
  <c r="X65" i="43"/>
  <c r="L65" i="43"/>
  <c r="AK65" i="43"/>
  <c r="V65" i="43"/>
  <c r="I65" i="43"/>
  <c r="AJ65" i="43"/>
  <c r="U65" i="43"/>
  <c r="H65" i="43"/>
  <c r="AI65" i="43"/>
  <c r="T65" i="43"/>
  <c r="G65" i="43"/>
  <c r="W65" i="43"/>
  <c r="AP65" i="43"/>
  <c r="AM58" i="43"/>
  <c r="Y58" i="43"/>
  <c r="M58" i="43"/>
  <c r="AL58" i="43"/>
  <c r="W58" i="43"/>
  <c r="J58" i="43"/>
  <c r="AK58" i="43"/>
  <c r="V58" i="43"/>
  <c r="I58" i="43"/>
  <c r="AJ58" i="43"/>
  <c r="E47" i="43"/>
  <c r="U47" i="43"/>
  <c r="AL47" i="43"/>
  <c r="F50" i="43"/>
  <c r="V50" i="43"/>
  <c r="AM50" i="43"/>
  <c r="AL53" i="43"/>
  <c r="X53" i="43"/>
  <c r="L53" i="43"/>
  <c r="AR53" i="43"/>
  <c r="AE53" i="43"/>
  <c r="P53" i="43"/>
  <c r="AQ53" i="43"/>
  <c r="AD53" i="43"/>
  <c r="O53" i="43"/>
  <c r="S53" i="43"/>
  <c r="AJ53" i="43"/>
  <c r="G54" i="43"/>
  <c r="V54" i="43"/>
  <c r="AO54" i="43"/>
  <c r="F58" i="43"/>
  <c r="U58" i="43"/>
  <c r="AO58" i="43"/>
  <c r="AK60" i="43"/>
  <c r="W60" i="43"/>
  <c r="K60" i="43"/>
  <c r="AR60" i="43"/>
  <c r="AE60" i="43"/>
  <c r="P60" i="43"/>
  <c r="AP60" i="43"/>
  <c r="AA60" i="43"/>
  <c r="AQ60" i="43"/>
  <c r="AD60" i="43"/>
  <c r="O60" i="43"/>
  <c r="N60" i="43"/>
  <c r="T60" i="43"/>
  <c r="AM60" i="43"/>
  <c r="H62" i="43"/>
  <c r="Y62" i="43"/>
  <c r="AQ62" i="43"/>
  <c r="E65" i="43"/>
  <c r="Y65" i="43"/>
  <c r="AQ65" i="43"/>
  <c r="AO56" i="43"/>
  <c r="AA56" i="43"/>
  <c r="O56" i="43"/>
  <c r="Q56" i="43"/>
  <c r="AF56" i="43"/>
  <c r="AS56" i="43"/>
  <c r="AQ66" i="43"/>
  <c r="AE66" i="43"/>
  <c r="Q66" i="43"/>
  <c r="E66" i="43"/>
  <c r="R66" i="43"/>
  <c r="AG66" i="43"/>
  <c r="AT66" i="43"/>
  <c r="AM46" i="43"/>
  <c r="Y46" i="43"/>
  <c r="M46" i="43"/>
  <c r="Q46" i="43"/>
  <c r="AF46" i="43"/>
  <c r="AS46" i="43"/>
  <c r="E56" i="43"/>
  <c r="R56" i="43"/>
  <c r="AG56" i="43"/>
  <c r="AT56" i="43"/>
  <c r="AN63" i="43"/>
  <c r="Z63" i="43"/>
  <c r="N63" i="43"/>
  <c r="Q63" i="43"/>
  <c r="AF63" i="43"/>
  <c r="AS63" i="43"/>
  <c r="F66" i="43"/>
  <c r="S66" i="43"/>
  <c r="AH66" i="43"/>
  <c r="AU66" i="43"/>
  <c r="P49" i="43"/>
  <c r="AD49" i="43"/>
  <c r="P61" i="43"/>
  <c r="AD61" i="43"/>
  <c r="Y54" i="47"/>
  <c r="E43" i="47"/>
  <c r="Z54" i="47"/>
  <c r="E59" i="47"/>
  <c r="F43" i="47"/>
  <c r="AU47" i="47"/>
  <c r="AI47" i="47"/>
  <c r="U47" i="47"/>
  <c r="I47" i="47"/>
  <c r="AO47" i="47"/>
  <c r="Z47" i="47"/>
  <c r="M47" i="47"/>
  <c r="AL47" i="47"/>
  <c r="W47" i="47"/>
  <c r="AN47" i="47"/>
  <c r="Y47" i="47"/>
  <c r="L47" i="47"/>
  <c r="AM47" i="47"/>
  <c r="X47" i="47"/>
  <c r="K47" i="47"/>
  <c r="J47" i="47"/>
  <c r="AK47" i="47"/>
  <c r="Q47" i="47"/>
  <c r="AF47" i="47"/>
  <c r="H47" i="47"/>
  <c r="AE47" i="47"/>
  <c r="G47" i="47"/>
  <c r="AA47" i="47"/>
  <c r="AJ47" i="47"/>
  <c r="P47" i="47"/>
  <c r="AH47" i="47"/>
  <c r="O47" i="47"/>
  <c r="AG47" i="47"/>
  <c r="N47" i="47"/>
  <c r="AD47" i="47"/>
  <c r="F47" i="47"/>
  <c r="AT47" i="47"/>
  <c r="E47" i="47"/>
  <c r="AS56" i="47"/>
  <c r="AG56" i="47"/>
  <c r="S56" i="47"/>
  <c r="G56" i="47"/>
  <c r="AR56" i="47"/>
  <c r="AF56" i="47"/>
  <c r="R56" i="47"/>
  <c r="F56" i="47"/>
  <c r="AI56" i="47"/>
  <c r="Q56" i="47"/>
  <c r="C56" i="47"/>
  <c r="AT56" i="47"/>
  <c r="AD56" i="47"/>
  <c r="N56" i="47"/>
  <c r="AH56" i="47"/>
  <c r="P56" i="47"/>
  <c r="AU56" i="47"/>
  <c r="AE56" i="47"/>
  <c r="O56" i="47"/>
  <c r="AQ56" i="47"/>
  <c r="W56" i="47"/>
  <c r="AM56" i="47"/>
  <c r="M56" i="47"/>
  <c r="AP56" i="47"/>
  <c r="V56" i="47"/>
  <c r="AO56" i="47"/>
  <c r="U56" i="47"/>
  <c r="AN56" i="47"/>
  <c r="T56" i="47"/>
  <c r="AL56" i="47"/>
  <c r="L56" i="47"/>
  <c r="AK56" i="47"/>
  <c r="K56" i="47"/>
  <c r="AJ56" i="47"/>
  <c r="J56" i="47"/>
  <c r="T59" i="47"/>
  <c r="AT61" i="47"/>
  <c r="AH61" i="47"/>
  <c r="T61" i="47"/>
  <c r="H61" i="47"/>
  <c r="AS61" i="47"/>
  <c r="AG61" i="47"/>
  <c r="S61" i="47"/>
  <c r="G61" i="47"/>
  <c r="AU61" i="47"/>
  <c r="AE61" i="47"/>
  <c r="O61" i="47"/>
  <c r="AP61" i="47"/>
  <c r="AR61" i="47"/>
  <c r="AD61" i="47"/>
  <c r="N61" i="47"/>
  <c r="AQ61" i="47"/>
  <c r="AA61" i="47"/>
  <c r="M61" i="47"/>
  <c r="Z61" i="47"/>
  <c r="L61" i="47"/>
  <c r="AO61" i="47"/>
  <c r="U61" i="47"/>
  <c r="AK61" i="47"/>
  <c r="K61" i="47"/>
  <c r="AN61" i="47"/>
  <c r="R61" i="47"/>
  <c r="AM61" i="47"/>
  <c r="Q61" i="47"/>
  <c r="AL61" i="47"/>
  <c r="P61" i="47"/>
  <c r="AJ61" i="47"/>
  <c r="J61" i="47"/>
  <c r="AI61" i="47"/>
  <c r="I61" i="47"/>
  <c r="AF61" i="47"/>
  <c r="F61" i="47"/>
  <c r="Y61" i="47"/>
  <c r="E61" i="47"/>
  <c r="AR63" i="47"/>
  <c r="AF63" i="47"/>
  <c r="R63" i="47"/>
  <c r="F63" i="47"/>
  <c r="AQ63" i="47"/>
  <c r="AE63" i="47"/>
  <c r="Q63" i="47"/>
  <c r="E63" i="47"/>
  <c r="AU63" i="47"/>
  <c r="AG63" i="47"/>
  <c r="O63" i="47"/>
  <c r="AT63" i="47"/>
  <c r="AD63" i="47"/>
  <c r="N63" i="47"/>
  <c r="AS63" i="47"/>
  <c r="AA63" i="47"/>
  <c r="M63" i="47"/>
  <c r="AP63" i="47"/>
  <c r="Z63" i="47"/>
  <c r="L63" i="47"/>
  <c r="AO63" i="47"/>
  <c r="U63" i="47"/>
  <c r="AK63" i="47"/>
  <c r="K63" i="47"/>
  <c r="AN63" i="47"/>
  <c r="T63" i="47"/>
  <c r="AM63" i="47"/>
  <c r="S63" i="47"/>
  <c r="AL63" i="47"/>
  <c r="P63" i="47"/>
  <c r="AJ63" i="47"/>
  <c r="J63" i="47"/>
  <c r="AI63" i="47"/>
  <c r="I63" i="47"/>
  <c r="AH63" i="47"/>
  <c r="H63" i="47"/>
  <c r="Y63" i="47"/>
  <c r="G63" i="47"/>
  <c r="AU66" i="47"/>
  <c r="AI66" i="47"/>
  <c r="U66" i="47"/>
  <c r="I66" i="47"/>
  <c r="AT66" i="47"/>
  <c r="AH66" i="47"/>
  <c r="T66" i="47"/>
  <c r="H66" i="47"/>
  <c r="AS66" i="47"/>
  <c r="AE66" i="47"/>
  <c r="O66" i="47"/>
  <c r="AR66" i="47"/>
  <c r="AD66" i="47"/>
  <c r="N66" i="47"/>
  <c r="AQ66" i="47"/>
  <c r="AA66" i="47"/>
  <c r="M66" i="47"/>
  <c r="AP66" i="47"/>
  <c r="Z66" i="47"/>
  <c r="L66" i="47"/>
  <c r="AO66" i="47"/>
  <c r="S66" i="47"/>
  <c r="AK66" i="47"/>
  <c r="K66" i="47"/>
  <c r="AN66" i="47"/>
  <c r="R66" i="47"/>
  <c r="AM66" i="47"/>
  <c r="Q66" i="47"/>
  <c r="AL66" i="47"/>
  <c r="P66" i="47"/>
  <c r="AJ66" i="47"/>
  <c r="J66" i="47"/>
  <c r="AG66" i="47"/>
  <c r="G66" i="47"/>
  <c r="AF66" i="47"/>
  <c r="F66" i="47"/>
  <c r="Y66" i="47"/>
  <c r="E66" i="47"/>
  <c r="AU54" i="47"/>
  <c r="AI54" i="47"/>
  <c r="U54" i="47"/>
  <c r="I54" i="47"/>
  <c r="AT54" i="47"/>
  <c r="AH54" i="47"/>
  <c r="T54" i="47"/>
  <c r="H54" i="47"/>
  <c r="AG54" i="47"/>
  <c r="Q54" i="47"/>
  <c r="C54" i="47"/>
  <c r="AR54" i="47"/>
  <c r="AD54" i="47"/>
  <c r="N54" i="47"/>
  <c r="AF54" i="47"/>
  <c r="P54" i="47"/>
  <c r="AS54" i="47"/>
  <c r="AE54" i="47"/>
  <c r="O54" i="47"/>
  <c r="AP54" i="47"/>
  <c r="V54" i="47"/>
  <c r="AL54" i="47"/>
  <c r="L54" i="47"/>
  <c r="K54" i="47"/>
  <c r="G54" i="47"/>
  <c r="AO54" i="47"/>
  <c r="S54" i="47"/>
  <c r="AN54" i="47"/>
  <c r="R54" i="47"/>
  <c r="AM54" i="47"/>
  <c r="M54" i="47"/>
  <c r="AK54" i="47"/>
  <c r="AJ54" i="47"/>
  <c r="J54" i="47"/>
  <c r="AA54" i="47"/>
  <c r="AO60" i="47"/>
  <c r="AA60" i="47"/>
  <c r="O60" i="47"/>
  <c r="C60" i="47"/>
  <c r="AN60" i="47"/>
  <c r="Z60" i="47"/>
  <c r="N60" i="47"/>
  <c r="AT60" i="47"/>
  <c r="AF60" i="47"/>
  <c r="P60" i="47"/>
  <c r="AS60" i="47"/>
  <c r="AE60" i="47"/>
  <c r="M60" i="47"/>
  <c r="AR60" i="47"/>
  <c r="AD60" i="47"/>
  <c r="L60" i="47"/>
  <c r="AQ60" i="47"/>
  <c r="Y60" i="47"/>
  <c r="K60" i="47"/>
  <c r="AP60" i="47"/>
  <c r="T60" i="47"/>
  <c r="AJ60" i="47"/>
  <c r="J60" i="47"/>
  <c r="AM60" i="47"/>
  <c r="S60" i="47"/>
  <c r="AL60" i="47"/>
  <c r="R60" i="47"/>
  <c r="AK60" i="47"/>
  <c r="Q60" i="47"/>
  <c r="AI60" i="47"/>
  <c r="I60" i="47"/>
  <c r="AH60" i="47"/>
  <c r="H60" i="47"/>
  <c r="AG60" i="47"/>
  <c r="G60" i="47"/>
  <c r="X60" i="47"/>
  <c r="F60" i="47"/>
  <c r="AK64" i="47"/>
  <c r="W64" i="47"/>
  <c r="K64" i="47"/>
  <c r="AJ64" i="47"/>
  <c r="V64" i="47"/>
  <c r="J64" i="47"/>
  <c r="AT64" i="47"/>
  <c r="AF64" i="47"/>
  <c r="P64" i="47"/>
  <c r="AS64" i="47"/>
  <c r="AE64" i="47"/>
  <c r="O64" i="47"/>
  <c r="AR64" i="47"/>
  <c r="AD64" i="47"/>
  <c r="N64" i="47"/>
  <c r="AQ64" i="47"/>
  <c r="AA64" i="47"/>
  <c r="M64" i="47"/>
  <c r="AP64" i="47"/>
  <c r="T64" i="47"/>
  <c r="AL64" i="47"/>
  <c r="L64" i="47"/>
  <c r="AO64" i="47"/>
  <c r="S64" i="47"/>
  <c r="AN64" i="47"/>
  <c r="R64" i="47"/>
  <c r="AM64" i="47"/>
  <c r="Q64" i="47"/>
  <c r="AI64" i="47"/>
  <c r="I64" i="47"/>
  <c r="AH64" i="47"/>
  <c r="H64" i="47"/>
  <c r="AG64" i="47"/>
  <c r="G64" i="47"/>
  <c r="Z64" i="47"/>
  <c r="F64" i="47"/>
  <c r="E54" i="47"/>
  <c r="E60" i="47"/>
  <c r="E62" i="47"/>
  <c r="E64" i="47"/>
  <c r="F54" i="47"/>
  <c r="U60" i="47"/>
  <c r="U62" i="47"/>
  <c r="U64" i="47"/>
  <c r="W54" i="47"/>
  <c r="V60" i="47"/>
  <c r="V62" i="47"/>
  <c r="X64" i="47"/>
  <c r="X54" i="47"/>
  <c r="W60" i="47"/>
  <c r="W62" i="47"/>
  <c r="Y64" i="47"/>
  <c r="AM43" i="47"/>
  <c r="Y43" i="47"/>
  <c r="M43" i="47"/>
  <c r="AR43" i="47"/>
  <c r="AE43" i="47"/>
  <c r="P43" i="47"/>
  <c r="C43" i="47"/>
  <c r="AO43" i="47"/>
  <c r="AQ43" i="47"/>
  <c r="AD43" i="47"/>
  <c r="O43" i="47"/>
  <c r="AP43" i="47"/>
  <c r="AA43" i="47"/>
  <c r="N43" i="47"/>
  <c r="Z43" i="47"/>
  <c r="AK43" i="47"/>
  <c r="R43" i="47"/>
  <c r="K43" i="47"/>
  <c r="AG43" i="47"/>
  <c r="J43" i="47"/>
  <c r="X43" i="47"/>
  <c r="H43" i="47"/>
  <c r="G43" i="47"/>
  <c r="AJ43" i="47"/>
  <c r="Q43" i="47"/>
  <c r="AI43" i="47"/>
  <c r="L43" i="47"/>
  <c r="AH43" i="47"/>
  <c r="AF43" i="47"/>
  <c r="I43" i="47"/>
  <c r="AU43" i="47"/>
  <c r="W43" i="47"/>
  <c r="AJ59" i="47"/>
  <c r="V59" i="47"/>
  <c r="J59" i="47"/>
  <c r="AU59" i="47"/>
  <c r="AI59" i="47"/>
  <c r="U59" i="47"/>
  <c r="I59" i="47"/>
  <c r="AS59" i="47"/>
  <c r="AE59" i="47"/>
  <c r="O59" i="47"/>
  <c r="AR59" i="47"/>
  <c r="AD59" i="47"/>
  <c r="N59" i="47"/>
  <c r="AQ59" i="47"/>
  <c r="AA59" i="47"/>
  <c r="M59" i="47"/>
  <c r="AP59" i="47"/>
  <c r="Z59" i="47"/>
  <c r="L59" i="47"/>
  <c r="AO59" i="47"/>
  <c r="S59" i="47"/>
  <c r="AK59" i="47"/>
  <c r="K59" i="47"/>
  <c r="AN59" i="47"/>
  <c r="R59" i="47"/>
  <c r="AM59" i="47"/>
  <c r="Q59" i="47"/>
  <c r="AL59" i="47"/>
  <c r="P59" i="47"/>
  <c r="AH59" i="47"/>
  <c r="H59" i="47"/>
  <c r="AG59" i="47"/>
  <c r="G59" i="47"/>
  <c r="AF59" i="47"/>
  <c r="F59" i="47"/>
  <c r="T43" i="47"/>
  <c r="S47" i="47"/>
  <c r="H56" i="47"/>
  <c r="X59" i="47"/>
  <c r="W61" i="47"/>
  <c r="W63" i="47"/>
  <c r="W66" i="47"/>
  <c r="AM62" i="47"/>
  <c r="Y62" i="47"/>
  <c r="M62" i="47"/>
  <c r="AL62" i="47"/>
  <c r="X62" i="47"/>
  <c r="L62" i="47"/>
  <c r="AT62" i="47"/>
  <c r="AF62" i="47"/>
  <c r="P62" i="47"/>
  <c r="AS62" i="47"/>
  <c r="AE62" i="47"/>
  <c r="O62" i="47"/>
  <c r="AR62" i="47"/>
  <c r="AD62" i="47"/>
  <c r="N62" i="47"/>
  <c r="AQ62" i="47"/>
  <c r="AA62" i="47"/>
  <c r="K62" i="47"/>
  <c r="AP62" i="47"/>
  <c r="T62" i="47"/>
  <c r="AJ62" i="47"/>
  <c r="J62" i="47"/>
  <c r="AO62" i="47"/>
  <c r="S62" i="47"/>
  <c r="AN62" i="47"/>
  <c r="R62" i="47"/>
  <c r="AK62" i="47"/>
  <c r="Q62" i="47"/>
  <c r="AI62" i="47"/>
  <c r="I62" i="47"/>
  <c r="AH62" i="47"/>
  <c r="H62" i="47"/>
  <c r="AG62" i="47"/>
  <c r="G62" i="47"/>
  <c r="Z62" i="47"/>
  <c r="F62" i="47"/>
  <c r="U43" i="47"/>
  <c r="T47" i="47"/>
  <c r="I56" i="47"/>
  <c r="Y59" i="47"/>
  <c r="X61" i="47"/>
  <c r="X63" i="47"/>
  <c r="X66" i="47"/>
  <c r="AL50" i="47"/>
  <c r="X50" i="47"/>
  <c r="L50" i="47"/>
  <c r="AQ50" i="47"/>
  <c r="AD50" i="47"/>
  <c r="O50" i="47"/>
  <c r="K50" i="47"/>
  <c r="AP50" i="47"/>
  <c r="AA50" i="47"/>
  <c r="N50" i="47"/>
  <c r="AO50" i="47"/>
  <c r="Z50" i="47"/>
  <c r="M50" i="47"/>
  <c r="AN50" i="47"/>
  <c r="Y50" i="47"/>
  <c r="Z44" i="47"/>
  <c r="AN48" i="47"/>
  <c r="Z48" i="47"/>
  <c r="N48" i="47"/>
  <c r="AK48" i="47"/>
  <c r="V48" i="47"/>
  <c r="I48" i="47"/>
  <c r="AU48" i="47"/>
  <c r="AH48" i="47"/>
  <c r="S48" i="47"/>
  <c r="F48" i="47"/>
  <c r="AJ48" i="47"/>
  <c r="U48" i="47"/>
  <c r="H48" i="47"/>
  <c r="AI48" i="47"/>
  <c r="T48" i="47"/>
  <c r="G48" i="47"/>
  <c r="V50" i="47"/>
  <c r="W42" i="47"/>
  <c r="J48" i="47"/>
  <c r="AD48" i="47"/>
  <c r="F42" i="47"/>
  <c r="X42" i="47"/>
  <c r="AO42" i="47"/>
  <c r="H44" i="47"/>
  <c r="AE44" i="47"/>
  <c r="AK45" i="47"/>
  <c r="W45" i="47"/>
  <c r="K45" i="47"/>
  <c r="AJ45" i="47"/>
  <c r="U45" i="47"/>
  <c r="H45" i="47"/>
  <c r="AI45" i="47"/>
  <c r="T45" i="47"/>
  <c r="G45" i="47"/>
  <c r="AU45" i="47"/>
  <c r="AH45" i="47"/>
  <c r="S45" i="47"/>
  <c r="F45" i="47"/>
  <c r="AT45" i="47"/>
  <c r="AG45" i="47"/>
  <c r="R45" i="47"/>
  <c r="E45" i="47"/>
  <c r="Z45" i="47"/>
  <c r="AS45" i="47"/>
  <c r="K48" i="47"/>
  <c r="AE48" i="47"/>
  <c r="H50" i="47"/>
  <c r="AF50" i="47"/>
  <c r="AQ51" i="47"/>
  <c r="AE51" i="47"/>
  <c r="Q51" i="47"/>
  <c r="E51" i="47"/>
  <c r="AM51" i="47"/>
  <c r="X51" i="47"/>
  <c r="K51" i="47"/>
  <c r="U51" i="47"/>
  <c r="AL51" i="47"/>
  <c r="W51" i="47"/>
  <c r="J51" i="47"/>
  <c r="AK51" i="47"/>
  <c r="V51" i="47"/>
  <c r="I51" i="47"/>
  <c r="AJ51" i="47"/>
  <c r="H51" i="47"/>
  <c r="Z51" i="47"/>
  <c r="AT51" i="47"/>
  <c r="J42" i="47"/>
  <c r="Y42" i="47"/>
  <c r="M44" i="47"/>
  <c r="I45" i="47"/>
  <c r="AA45" i="47"/>
  <c r="L48" i="47"/>
  <c r="AF48" i="47"/>
  <c r="I50" i="47"/>
  <c r="AG50" i="47"/>
  <c r="F51" i="47"/>
  <c r="AA51" i="47"/>
  <c r="AU51" i="47"/>
  <c r="U50" i="47"/>
  <c r="AS50" i="47"/>
  <c r="AR44" i="47"/>
  <c r="AF44" i="47"/>
  <c r="R44" i="47"/>
  <c r="F44" i="47"/>
  <c r="AN44" i="47"/>
  <c r="Y44" i="47"/>
  <c r="L44" i="47"/>
  <c r="AK44" i="47"/>
  <c r="AM44" i="47"/>
  <c r="X44" i="47"/>
  <c r="K44" i="47"/>
  <c r="AL44" i="47"/>
  <c r="W44" i="47"/>
  <c r="J44" i="47"/>
  <c r="V44" i="47"/>
  <c r="I44" i="47"/>
  <c r="AT44" i="47"/>
  <c r="Y48" i="47"/>
  <c r="AS48" i="47"/>
  <c r="E50" i="47"/>
  <c r="AT50" i="47"/>
  <c r="AT42" i="47"/>
  <c r="AI42" i="47"/>
  <c r="U42" i="47"/>
  <c r="I42" i="47"/>
  <c r="AG42" i="47"/>
  <c r="AU42" i="47"/>
  <c r="AH42" i="47"/>
  <c r="T42" i="47"/>
  <c r="H42" i="47"/>
  <c r="AS42" i="47"/>
  <c r="S42" i="47"/>
  <c r="G42" i="47"/>
  <c r="V42" i="47"/>
  <c r="AM42" i="47"/>
  <c r="E44" i="47"/>
  <c r="AA44" i="47"/>
  <c r="AU44" i="47"/>
  <c r="E48" i="47"/>
  <c r="AA48" i="47"/>
  <c r="AT48" i="47"/>
  <c r="F50" i="47"/>
  <c r="W50" i="47"/>
  <c r="AU50" i="47"/>
  <c r="E42" i="47"/>
  <c r="AN42" i="47"/>
  <c r="G44" i="47"/>
  <c r="AD44" i="47"/>
  <c r="G50" i="47"/>
  <c r="AE50" i="47"/>
  <c r="K42" i="47"/>
  <c r="Z42" i="47"/>
  <c r="AQ42" i="47"/>
  <c r="N44" i="47"/>
  <c r="AH44" i="47"/>
  <c r="J45" i="47"/>
  <c r="AD45" i="47"/>
  <c r="M48" i="47"/>
  <c r="AG48" i="47"/>
  <c r="J50" i="47"/>
  <c r="AH50" i="47"/>
  <c r="G51" i="47"/>
  <c r="AD51" i="47"/>
  <c r="AJ52" i="47"/>
  <c r="V52" i="47"/>
  <c r="J52" i="47"/>
  <c r="Q52" i="47"/>
  <c r="AF52" i="47"/>
  <c r="AS52" i="47"/>
  <c r="E52" i="47"/>
  <c r="R52" i="47"/>
  <c r="AG52" i="47"/>
  <c r="AT52" i="47"/>
  <c r="AS49" i="47"/>
  <c r="AG49" i="47"/>
  <c r="S49" i="47"/>
  <c r="G49" i="47"/>
  <c r="Q49" i="47"/>
  <c r="AF49" i="47"/>
  <c r="AT49" i="47"/>
  <c r="F52" i="47"/>
  <c r="S52" i="47"/>
  <c r="AH52" i="47"/>
  <c r="AU52" i="47"/>
  <c r="P41" i="47"/>
  <c r="AD41" i="47"/>
  <c r="E49" i="47"/>
  <c r="R49" i="47"/>
  <c r="AH49" i="47"/>
  <c r="AU49" i="47"/>
  <c r="G52" i="47"/>
  <c r="T52" i="47"/>
  <c r="AI52" i="47"/>
  <c r="AN55" i="47"/>
  <c r="Z55" i="47"/>
  <c r="N55" i="47"/>
  <c r="AM55" i="47"/>
  <c r="Y55" i="47"/>
  <c r="M55" i="47"/>
  <c r="R55" i="47"/>
  <c r="AH55" i="47"/>
  <c r="AL57" i="47"/>
  <c r="X57" i="47"/>
  <c r="L57" i="47"/>
  <c r="AK57" i="47"/>
  <c r="W57" i="47"/>
  <c r="K57" i="47"/>
  <c r="R57" i="47"/>
  <c r="AH57" i="47"/>
  <c r="P46" i="47"/>
  <c r="AD46" i="47"/>
  <c r="C53" i="47"/>
  <c r="O53" i="47"/>
  <c r="AA53" i="47"/>
  <c r="AO53" i="47"/>
  <c r="P58" i="47"/>
  <c r="AD58" i="47"/>
  <c r="AP58" i="47"/>
  <c r="O65" i="47"/>
  <c r="AA65" i="47"/>
  <c r="AO65" i="47"/>
  <c r="P53" i="47"/>
  <c r="AD53" i="47"/>
  <c r="AE58" i="47"/>
  <c r="P65" i="47"/>
  <c r="AD65" i="47"/>
  <c r="AL50" i="46"/>
  <c r="X50" i="46"/>
  <c r="L50" i="46"/>
  <c r="AR50" i="46"/>
  <c r="AE50" i="46"/>
  <c r="P50" i="46"/>
  <c r="AQ50" i="46"/>
  <c r="AD50" i="46"/>
  <c r="O50" i="46"/>
  <c r="AP50" i="46"/>
  <c r="AA50" i="46"/>
  <c r="N50" i="46"/>
  <c r="AO50" i="46"/>
  <c r="Z50" i="46"/>
  <c r="M50" i="46"/>
  <c r="U50" i="46"/>
  <c r="AM55" i="46"/>
  <c r="Y55" i="46"/>
  <c r="M55" i="46"/>
  <c r="AL55" i="46"/>
  <c r="W55" i="46"/>
  <c r="J55" i="46"/>
  <c r="AI55" i="46"/>
  <c r="T55" i="46"/>
  <c r="G55" i="46"/>
  <c r="AK55" i="46"/>
  <c r="V55" i="46"/>
  <c r="I55" i="46"/>
  <c r="AJ55" i="46"/>
  <c r="U55" i="46"/>
  <c r="H55" i="46"/>
  <c r="Z55" i="46"/>
  <c r="AS55" i="46"/>
  <c r="E44" i="46"/>
  <c r="AQ44" i="46"/>
  <c r="AU47" i="46"/>
  <c r="AI47" i="46"/>
  <c r="U47" i="46"/>
  <c r="I47" i="46"/>
  <c r="AP47" i="46"/>
  <c r="AA47" i="46"/>
  <c r="N47" i="46"/>
  <c r="AO47" i="46"/>
  <c r="Z47" i="46"/>
  <c r="M47" i="46"/>
  <c r="AN47" i="46"/>
  <c r="Y47" i="46"/>
  <c r="L47" i="46"/>
  <c r="AM47" i="46"/>
  <c r="X47" i="46"/>
  <c r="K47" i="46"/>
  <c r="AS47" i="46"/>
  <c r="E50" i="46"/>
  <c r="V50" i="46"/>
  <c r="AT50" i="46"/>
  <c r="E55" i="46"/>
  <c r="AA55" i="46"/>
  <c r="AT55" i="46"/>
  <c r="W44" i="46"/>
  <c r="F50" i="46"/>
  <c r="F55" i="46"/>
  <c r="AD55" i="46"/>
  <c r="AU55" i="46"/>
  <c r="H44" i="46"/>
  <c r="AA44" i="46"/>
  <c r="F47" i="46"/>
  <c r="AD47" i="46"/>
  <c r="K55" i="46"/>
  <c r="AN48" i="46"/>
  <c r="Z48" i="46"/>
  <c r="N48" i="46"/>
  <c r="AL48" i="46"/>
  <c r="W48" i="46"/>
  <c r="J48" i="46"/>
  <c r="AK48" i="46"/>
  <c r="V48" i="46"/>
  <c r="I48" i="46"/>
  <c r="AJ48" i="46"/>
  <c r="U48" i="46"/>
  <c r="H48" i="46"/>
  <c r="AI48" i="46"/>
  <c r="T48" i="46"/>
  <c r="G48" i="46"/>
  <c r="AQ51" i="46"/>
  <c r="AE51" i="46"/>
  <c r="Q51" i="46"/>
  <c r="E51" i="46"/>
  <c r="AN51" i="46"/>
  <c r="Y51" i="46"/>
  <c r="L51" i="46"/>
  <c r="I51" i="46"/>
  <c r="AM51" i="46"/>
  <c r="X51" i="46"/>
  <c r="K51" i="46"/>
  <c r="AL51" i="46"/>
  <c r="W51" i="46"/>
  <c r="J51" i="46"/>
  <c r="AK51" i="46"/>
  <c r="V51" i="46"/>
  <c r="AN60" i="46"/>
  <c r="Z60" i="46"/>
  <c r="N60" i="46"/>
  <c r="AM60" i="46"/>
  <c r="Y60" i="46"/>
  <c r="M60" i="46"/>
  <c r="AL60" i="46"/>
  <c r="V60" i="46"/>
  <c r="H60" i="46"/>
  <c r="AI60" i="46"/>
  <c r="E60" i="46"/>
  <c r="AK60" i="46"/>
  <c r="U60" i="46"/>
  <c r="G60" i="46"/>
  <c r="AJ60" i="46"/>
  <c r="T60" i="46"/>
  <c r="F60" i="46"/>
  <c r="S60" i="46"/>
  <c r="AT66" i="46"/>
  <c r="AH66" i="46"/>
  <c r="T66" i="46"/>
  <c r="H66" i="46"/>
  <c r="AS66" i="46"/>
  <c r="AG66" i="46"/>
  <c r="S66" i="46"/>
  <c r="G66" i="46"/>
  <c r="AK66" i="46"/>
  <c r="W66" i="46"/>
  <c r="K66" i="46"/>
  <c r="AU66" i="46"/>
  <c r="AD66" i="46"/>
  <c r="M66" i="46"/>
  <c r="AR66" i="46"/>
  <c r="AA66" i="46"/>
  <c r="L66" i="46"/>
  <c r="AP66" i="46"/>
  <c r="Y66" i="46"/>
  <c r="I66" i="46"/>
  <c r="AQ66" i="46"/>
  <c r="Z66" i="46"/>
  <c r="J66" i="46"/>
  <c r="AF66" i="46"/>
  <c r="J44" i="46"/>
  <c r="H47" i="46"/>
  <c r="AT48" i="46"/>
  <c r="AG50" i="46"/>
  <c r="I60" i="46"/>
  <c r="AE60" i="46"/>
  <c r="AL62" i="46"/>
  <c r="X62" i="46"/>
  <c r="L62" i="46"/>
  <c r="AK62" i="46"/>
  <c r="W62" i="46"/>
  <c r="K62" i="46"/>
  <c r="AN62" i="46"/>
  <c r="V62" i="46"/>
  <c r="H62" i="46"/>
  <c r="AI62" i="46"/>
  <c r="AM62" i="46"/>
  <c r="U62" i="46"/>
  <c r="G62" i="46"/>
  <c r="E62" i="46"/>
  <c r="AJ62" i="46"/>
  <c r="T62" i="46"/>
  <c r="F62" i="46"/>
  <c r="S62" i="46"/>
  <c r="E66" i="46"/>
  <c r="AI66" i="46"/>
  <c r="AG44" i="46"/>
  <c r="Z45" i="46"/>
  <c r="AS45" i="46"/>
  <c r="J47" i="46"/>
  <c r="AG47" i="46"/>
  <c r="F48" i="46"/>
  <c r="J50" i="46"/>
  <c r="AH50" i="46"/>
  <c r="G51" i="46"/>
  <c r="AD51" i="46"/>
  <c r="O55" i="46"/>
  <c r="AH55" i="46"/>
  <c r="J60" i="46"/>
  <c r="AF60" i="46"/>
  <c r="I62" i="46"/>
  <c r="AE62" i="46"/>
  <c r="AO65" i="46"/>
  <c r="AA65" i="46"/>
  <c r="O65" i="46"/>
  <c r="AN65" i="46"/>
  <c r="Z65" i="46"/>
  <c r="N65" i="46"/>
  <c r="AR65" i="46"/>
  <c r="AF65" i="46"/>
  <c r="R65" i="46"/>
  <c r="AP65" i="46"/>
  <c r="W65" i="46"/>
  <c r="H65" i="46"/>
  <c r="AM65" i="46"/>
  <c r="V65" i="46"/>
  <c r="G65" i="46"/>
  <c r="AK65" i="46"/>
  <c r="T65" i="46"/>
  <c r="E65" i="46"/>
  <c r="AL65" i="46"/>
  <c r="U65" i="46"/>
  <c r="F65" i="46"/>
  <c r="AE65" i="46"/>
  <c r="F66" i="46"/>
  <c r="AJ66" i="46"/>
  <c r="AT42" i="46"/>
  <c r="AJ42" i="46"/>
  <c r="V42" i="46"/>
  <c r="J42" i="46"/>
  <c r="AI42" i="46"/>
  <c r="U42" i="46"/>
  <c r="I42" i="46"/>
  <c r="AU42" i="46"/>
  <c r="AH42" i="46"/>
  <c r="T42" i="46"/>
  <c r="H42" i="46"/>
  <c r="S42" i="46"/>
  <c r="AM42" i="46"/>
  <c r="O44" i="46"/>
  <c r="AH44" i="46"/>
  <c r="E45" i="46"/>
  <c r="AA45" i="46"/>
  <c r="AT45" i="46"/>
  <c r="O47" i="46"/>
  <c r="AH47" i="46"/>
  <c r="K48" i="46"/>
  <c r="AE48" i="46"/>
  <c r="K50" i="46"/>
  <c r="AI50" i="46"/>
  <c r="H51" i="46"/>
  <c r="AF51" i="46"/>
  <c r="AJ52" i="46"/>
  <c r="V52" i="46"/>
  <c r="J52" i="46"/>
  <c r="AK52" i="46"/>
  <c r="U52" i="46"/>
  <c r="H52" i="46"/>
  <c r="AI52" i="46"/>
  <c r="T52" i="46"/>
  <c r="G52" i="46"/>
  <c r="AU52" i="46"/>
  <c r="AH52" i="46"/>
  <c r="S52" i="46"/>
  <c r="F52" i="46"/>
  <c r="AT52" i="46"/>
  <c r="AG52" i="46"/>
  <c r="R52" i="46"/>
  <c r="E52" i="46"/>
  <c r="Z52" i="46"/>
  <c r="AS52" i="46"/>
  <c r="P55" i="46"/>
  <c r="AN55" i="46"/>
  <c r="K60" i="46"/>
  <c r="AG60" i="46"/>
  <c r="J62" i="46"/>
  <c r="AF62" i="46"/>
  <c r="I65" i="46"/>
  <c r="AG65" i="46"/>
  <c r="N66" i="46"/>
  <c r="AL66" i="46"/>
  <c r="E42" i="46"/>
  <c r="W42" i="46"/>
  <c r="AN42" i="46"/>
  <c r="P44" i="46"/>
  <c r="AI44" i="46"/>
  <c r="J45" i="46"/>
  <c r="AD45" i="46"/>
  <c r="P47" i="46"/>
  <c r="AJ47" i="46"/>
  <c r="L48" i="46"/>
  <c r="AF48" i="46"/>
  <c r="Q50" i="46"/>
  <c r="AJ50" i="46"/>
  <c r="M51" i="46"/>
  <c r="AG51" i="46"/>
  <c r="I52" i="46"/>
  <c r="AA52" i="46"/>
  <c r="U54" i="46"/>
  <c r="Q55" i="46"/>
  <c r="AO55" i="46"/>
  <c r="AK57" i="46"/>
  <c r="W57" i="46"/>
  <c r="K57" i="46"/>
  <c r="AR57" i="46"/>
  <c r="AE57" i="46"/>
  <c r="P57" i="46"/>
  <c r="AO57" i="46"/>
  <c r="Z57" i="46"/>
  <c r="M57" i="46"/>
  <c r="AQ57" i="46"/>
  <c r="AD57" i="46"/>
  <c r="O57" i="46"/>
  <c r="AP57" i="46"/>
  <c r="AA57" i="46"/>
  <c r="N57" i="46"/>
  <c r="U57" i="46"/>
  <c r="AS57" i="46"/>
  <c r="L60" i="46"/>
  <c r="AH60" i="46"/>
  <c r="M62" i="46"/>
  <c r="AG62" i="46"/>
  <c r="J65" i="46"/>
  <c r="AH65" i="46"/>
  <c r="O66" i="46"/>
  <c r="AM66" i="46"/>
  <c r="U44" i="46"/>
  <c r="E47" i="46"/>
  <c r="AT47" i="46"/>
  <c r="W50" i="46"/>
  <c r="AT44" i="46"/>
  <c r="G50" i="46"/>
  <c r="I44" i="46"/>
  <c r="AU44" i="46"/>
  <c r="G47" i="46"/>
  <c r="AE47" i="46"/>
  <c r="Y48" i="46"/>
  <c r="AS48" i="46"/>
  <c r="H50" i="46"/>
  <c r="AF50" i="46"/>
  <c r="Z51" i="46"/>
  <c r="L55" i="46"/>
  <c r="AF55" i="46"/>
  <c r="AA51" i="46"/>
  <c r="AD62" i="46"/>
  <c r="N44" i="46"/>
  <c r="AU48" i="46"/>
  <c r="F42" i="46"/>
  <c r="X42" i="46"/>
  <c r="AO42" i="46"/>
  <c r="Q44" i="46"/>
  <c r="L45" i="46"/>
  <c r="Q47" i="46"/>
  <c r="AK47" i="46"/>
  <c r="M48" i="46"/>
  <c r="AG48" i="46"/>
  <c r="R50" i="46"/>
  <c r="AK50" i="46"/>
  <c r="N51" i="46"/>
  <c r="AH51" i="46"/>
  <c r="K52" i="46"/>
  <c r="AD52" i="46"/>
  <c r="AT54" i="46"/>
  <c r="AH54" i="46"/>
  <c r="T54" i="46"/>
  <c r="H54" i="46"/>
  <c r="AP54" i="46"/>
  <c r="AA54" i="46"/>
  <c r="N54" i="46"/>
  <c r="AM54" i="46"/>
  <c r="X54" i="46"/>
  <c r="K54" i="46"/>
  <c r="AO54" i="46"/>
  <c r="Z54" i="46"/>
  <c r="M54" i="46"/>
  <c r="AN54" i="46"/>
  <c r="Y54" i="46"/>
  <c r="L54" i="46"/>
  <c r="V54" i="46"/>
  <c r="AS54" i="46"/>
  <c r="R55" i="46"/>
  <c r="AP55" i="46"/>
  <c r="O60" i="46"/>
  <c r="AO60" i="46"/>
  <c r="N62" i="46"/>
  <c r="AH62" i="46"/>
  <c r="K65" i="46"/>
  <c r="AI65" i="46"/>
  <c r="P66" i="46"/>
  <c r="AN66" i="46"/>
  <c r="AR44" i="46"/>
  <c r="AF44" i="46"/>
  <c r="R44" i="46"/>
  <c r="F44" i="46"/>
  <c r="AO44" i="46"/>
  <c r="Z44" i="46"/>
  <c r="M44" i="46"/>
  <c r="AN44" i="46"/>
  <c r="Y44" i="46"/>
  <c r="L44" i="46"/>
  <c r="AM44" i="46"/>
  <c r="X44" i="46"/>
  <c r="K44" i="46"/>
  <c r="AP44" i="46"/>
  <c r="AS50" i="46"/>
  <c r="V44" i="46"/>
  <c r="V47" i="46"/>
  <c r="G44" i="46"/>
  <c r="AS44" i="46"/>
  <c r="W47" i="46"/>
  <c r="AU50" i="46"/>
  <c r="Y50" i="46"/>
  <c r="AE55" i="46"/>
  <c r="AD44" i="46"/>
  <c r="AE44" i="46"/>
  <c r="AF47" i="46"/>
  <c r="E48" i="46"/>
  <c r="AA48" i="46"/>
  <c r="I50" i="46"/>
  <c r="F51" i="46"/>
  <c r="AU51" i="46"/>
  <c r="N55" i="46"/>
  <c r="AG55" i="46"/>
  <c r="AK45" i="46"/>
  <c r="W45" i="46"/>
  <c r="K45" i="46"/>
  <c r="AL45" i="46"/>
  <c r="V45" i="46"/>
  <c r="I45" i="46"/>
  <c r="AJ45" i="46"/>
  <c r="U45" i="46"/>
  <c r="H45" i="46"/>
  <c r="AI45" i="46"/>
  <c r="T45" i="46"/>
  <c r="G45" i="46"/>
  <c r="AU45" i="46"/>
  <c r="AH45" i="46"/>
  <c r="S45" i="46"/>
  <c r="F45" i="46"/>
  <c r="AD48" i="46"/>
  <c r="G42" i="46"/>
  <c r="Y42" i="46"/>
  <c r="AP42" i="46"/>
  <c r="S44" i="46"/>
  <c r="AK44" i="46"/>
  <c r="M45" i="46"/>
  <c r="AF45" i="46"/>
  <c r="R47" i="46"/>
  <c r="AL47" i="46"/>
  <c r="O48" i="46"/>
  <c r="AH48" i="46"/>
  <c r="S50" i="46"/>
  <c r="AM50" i="46"/>
  <c r="O51" i="46"/>
  <c r="AI51" i="46"/>
  <c r="L52" i="46"/>
  <c r="AE52" i="46"/>
  <c r="E54" i="46"/>
  <c r="W54" i="46"/>
  <c r="AU54" i="46"/>
  <c r="S55" i="46"/>
  <c r="AQ55" i="46"/>
  <c r="P60" i="46"/>
  <c r="AP60" i="46"/>
  <c r="O62" i="46"/>
  <c r="AO62" i="46"/>
  <c r="L65" i="46"/>
  <c r="AJ65" i="46"/>
  <c r="Q66" i="46"/>
  <c r="AO66" i="46"/>
  <c r="R59" i="46"/>
  <c r="AS49" i="46"/>
  <c r="AG49" i="46"/>
  <c r="S49" i="46"/>
  <c r="G49" i="46"/>
  <c r="Q49" i="46"/>
  <c r="AF49" i="46"/>
  <c r="AT49" i="46"/>
  <c r="AR56" i="46"/>
  <c r="AF56" i="46"/>
  <c r="R56" i="46"/>
  <c r="F56" i="46"/>
  <c r="Q56" i="46"/>
  <c r="AG56" i="46"/>
  <c r="AT56" i="46"/>
  <c r="E59" i="46"/>
  <c r="S59" i="46"/>
  <c r="AK59" i="46"/>
  <c r="E61" i="46"/>
  <c r="U61" i="46"/>
  <c r="E64" i="46"/>
  <c r="S64" i="46"/>
  <c r="AJ59" i="46"/>
  <c r="AS61" i="46"/>
  <c r="AG61" i="46"/>
  <c r="S61" i="46"/>
  <c r="G61" i="46"/>
  <c r="AR61" i="46"/>
  <c r="AF61" i="46"/>
  <c r="R61" i="46"/>
  <c r="F61" i="46"/>
  <c r="T61" i="46"/>
  <c r="AJ61" i="46"/>
  <c r="AJ64" i="46"/>
  <c r="V64" i="46"/>
  <c r="J64" i="46"/>
  <c r="AU64" i="46"/>
  <c r="AI64" i="46"/>
  <c r="U64" i="46"/>
  <c r="I64" i="46"/>
  <c r="R64" i="46"/>
  <c r="AH64" i="46"/>
  <c r="P41" i="46"/>
  <c r="AD41" i="46"/>
  <c r="P43" i="46"/>
  <c r="AE43" i="46"/>
  <c r="E49" i="46"/>
  <c r="R49" i="46"/>
  <c r="AH49" i="46"/>
  <c r="AU49" i="46"/>
  <c r="AO53" i="46"/>
  <c r="AA53" i="46"/>
  <c r="O53" i="46"/>
  <c r="Q53" i="46"/>
  <c r="AF53" i="46"/>
  <c r="AS53" i="46"/>
  <c r="E56" i="46"/>
  <c r="S56" i="46"/>
  <c r="AH56" i="46"/>
  <c r="AU56" i="46"/>
  <c r="F59" i="46"/>
  <c r="V59" i="46"/>
  <c r="H61" i="46"/>
  <c r="V61" i="46"/>
  <c r="AL61" i="46"/>
  <c r="F64" i="46"/>
  <c r="T64" i="46"/>
  <c r="AL64" i="46"/>
  <c r="AU59" i="46"/>
  <c r="AI59" i="46"/>
  <c r="U59" i="46"/>
  <c r="I59" i="46"/>
  <c r="AT59" i="46"/>
  <c r="AH59" i="46"/>
  <c r="T59" i="46"/>
  <c r="H59" i="46"/>
  <c r="AM43" i="46"/>
  <c r="Y43" i="46"/>
  <c r="M43" i="46"/>
  <c r="Q43" i="46"/>
  <c r="AF43" i="46"/>
  <c r="AS43" i="46"/>
  <c r="F49" i="46"/>
  <c r="T49" i="46"/>
  <c r="AI49" i="46"/>
  <c r="G56" i="46"/>
  <c r="T56" i="46"/>
  <c r="AI56" i="46"/>
  <c r="G59" i="46"/>
  <c r="W59" i="46"/>
  <c r="AM59" i="46"/>
  <c r="I61" i="46"/>
  <c r="W61" i="46"/>
  <c r="AM61" i="46"/>
  <c r="G64" i="46"/>
  <c r="W64" i="46"/>
  <c r="AM64" i="46"/>
  <c r="P63" i="46"/>
  <c r="AD63" i="46"/>
  <c r="AP63" i="46"/>
  <c r="P46" i="46"/>
  <c r="AD46" i="46"/>
  <c r="P58" i="46"/>
  <c r="AD58" i="46"/>
  <c r="E63" i="46"/>
  <c r="Q63" i="46"/>
  <c r="AE63" i="46"/>
  <c r="AR44" i="48"/>
  <c r="AF44" i="48"/>
  <c r="R44" i="48"/>
  <c r="F44" i="48"/>
  <c r="AQ44" i="48"/>
  <c r="AE44" i="48"/>
  <c r="Q44" i="48"/>
  <c r="E44" i="48"/>
  <c r="AU44" i="48"/>
  <c r="AG44" i="48"/>
  <c r="O44" i="48"/>
  <c r="AT44" i="48"/>
  <c r="AD44" i="48"/>
  <c r="N44" i="48"/>
  <c r="AS44" i="48"/>
  <c r="AA44" i="48"/>
  <c r="M44" i="48"/>
  <c r="AO44" i="48"/>
  <c r="V44" i="48"/>
  <c r="AN44" i="48"/>
  <c r="U44" i="48"/>
  <c r="AJ44" i="48"/>
  <c r="L44" i="48"/>
  <c r="AM44" i="48"/>
  <c r="T44" i="48"/>
  <c r="AL44" i="48"/>
  <c r="S44" i="48"/>
  <c r="AK44" i="48"/>
  <c r="P44" i="48"/>
  <c r="AI44" i="48"/>
  <c r="K44" i="48"/>
  <c r="AH44" i="48"/>
  <c r="J44" i="48"/>
  <c r="AP49" i="48"/>
  <c r="G44" i="48"/>
  <c r="AR56" i="48"/>
  <c r="AF56" i="48"/>
  <c r="R56" i="48"/>
  <c r="F56" i="48"/>
  <c r="AQ56" i="48"/>
  <c r="AE56" i="48"/>
  <c r="Q56" i="48"/>
  <c r="E56" i="48"/>
  <c r="AU56" i="48"/>
  <c r="AG56" i="48"/>
  <c r="O56" i="48"/>
  <c r="AT56" i="48"/>
  <c r="AD56" i="48"/>
  <c r="N56" i="48"/>
  <c r="AP56" i="48"/>
  <c r="Z56" i="48"/>
  <c r="AS56" i="48"/>
  <c r="AA56" i="48"/>
  <c r="M56" i="48"/>
  <c r="AN56" i="48"/>
  <c r="T56" i="48"/>
  <c r="AM56" i="48"/>
  <c r="S56" i="48"/>
  <c r="AI56" i="48"/>
  <c r="J56" i="48"/>
  <c r="AL56" i="48"/>
  <c r="P56" i="48"/>
  <c r="AK56" i="48"/>
  <c r="L56" i="48"/>
  <c r="AJ56" i="48"/>
  <c r="K56" i="48"/>
  <c r="AH56" i="48"/>
  <c r="I56" i="48"/>
  <c r="Y56" i="48"/>
  <c r="H56" i="48"/>
  <c r="X44" i="48"/>
  <c r="Y44" i="48"/>
  <c r="H49" i="48"/>
  <c r="U50" i="48"/>
  <c r="G55" i="48"/>
  <c r="X56" i="48"/>
  <c r="AJ59" i="48"/>
  <c r="V59" i="48"/>
  <c r="J59" i="48"/>
  <c r="AU59" i="48"/>
  <c r="AI59" i="48"/>
  <c r="U59" i="48"/>
  <c r="I59" i="48"/>
  <c r="AT59" i="48"/>
  <c r="AH59" i="48"/>
  <c r="T59" i="48"/>
  <c r="H59" i="48"/>
  <c r="AG59" i="48"/>
  <c r="P59" i="48"/>
  <c r="AF59" i="48"/>
  <c r="O59" i="48"/>
  <c r="AS59" i="48"/>
  <c r="AD59" i="48"/>
  <c r="M59" i="48"/>
  <c r="AE59" i="48"/>
  <c r="N59" i="48"/>
  <c r="AQ59" i="48"/>
  <c r="S59" i="48"/>
  <c r="AP59" i="48"/>
  <c r="R59" i="48"/>
  <c r="AL59" i="48"/>
  <c r="G59" i="48"/>
  <c r="AO59" i="48"/>
  <c r="Q59" i="48"/>
  <c r="AN59" i="48"/>
  <c r="L59" i="48"/>
  <c r="AM59" i="48"/>
  <c r="K59" i="48"/>
  <c r="AK59" i="48"/>
  <c r="F59" i="48"/>
  <c r="AA59" i="48"/>
  <c r="E59" i="48"/>
  <c r="Z44" i="48"/>
  <c r="I49" i="48"/>
  <c r="V50" i="48"/>
  <c r="AT54" i="48"/>
  <c r="AH54" i="48"/>
  <c r="T54" i="48"/>
  <c r="H54" i="48"/>
  <c r="AS54" i="48"/>
  <c r="AG54" i="48"/>
  <c r="S54" i="48"/>
  <c r="G54" i="48"/>
  <c r="AU54" i="48"/>
  <c r="AE54" i="48"/>
  <c r="O54" i="48"/>
  <c r="AR54" i="48"/>
  <c r="AD54" i="48"/>
  <c r="N54" i="48"/>
  <c r="AP54" i="48"/>
  <c r="Z54" i="48"/>
  <c r="AQ54" i="48"/>
  <c r="AA54" i="48"/>
  <c r="M54" i="48"/>
  <c r="V54" i="48"/>
  <c r="AO54" i="48"/>
  <c r="U54" i="48"/>
  <c r="AK54" i="48"/>
  <c r="L54" i="48"/>
  <c r="AN54" i="48"/>
  <c r="R54" i="48"/>
  <c r="AM54" i="48"/>
  <c r="Q54" i="48"/>
  <c r="AL54" i="48"/>
  <c r="P54" i="48"/>
  <c r="AJ54" i="48"/>
  <c r="K54" i="48"/>
  <c r="AI54" i="48"/>
  <c r="J54" i="48"/>
  <c r="V55" i="48"/>
  <c r="AO56" i="48"/>
  <c r="W59" i="48"/>
  <c r="AS42" i="48"/>
  <c r="AU42" i="48"/>
  <c r="AH42" i="48"/>
  <c r="T42" i="48"/>
  <c r="H42" i="48"/>
  <c r="AT42" i="48"/>
  <c r="AG42" i="48"/>
  <c r="S42" i="48"/>
  <c r="G42" i="48"/>
  <c r="AR42" i="48"/>
  <c r="AF42" i="48"/>
  <c r="R42" i="48"/>
  <c r="F42" i="48"/>
  <c r="AJ42" i="48"/>
  <c r="P42" i="48"/>
  <c r="AI42" i="48"/>
  <c r="O42" i="48"/>
  <c r="Z42" i="48"/>
  <c r="K42" i="48"/>
  <c r="AE42" i="48"/>
  <c r="N42" i="48"/>
  <c r="AD42" i="48"/>
  <c r="M42" i="48"/>
  <c r="AA42" i="48"/>
  <c r="L42" i="48"/>
  <c r="AQ42" i="48"/>
  <c r="AP42" i="48"/>
  <c r="Y42" i="48"/>
  <c r="J42" i="48"/>
  <c r="AO42" i="48"/>
  <c r="X42" i="48"/>
  <c r="I42" i="48"/>
  <c r="AP44" i="48"/>
  <c r="E54" i="48"/>
  <c r="X59" i="48"/>
  <c r="AL50" i="48"/>
  <c r="X50" i="48"/>
  <c r="L50" i="48"/>
  <c r="AK50" i="48"/>
  <c r="W50" i="48"/>
  <c r="K50" i="48"/>
  <c r="AT50" i="48"/>
  <c r="AF50" i="48"/>
  <c r="P50" i="48"/>
  <c r="AS50" i="48"/>
  <c r="AE50" i="48"/>
  <c r="O50" i="48"/>
  <c r="AR50" i="48"/>
  <c r="AD50" i="48"/>
  <c r="N50" i="48"/>
  <c r="AM50" i="48"/>
  <c r="R50" i="48"/>
  <c r="AJ50" i="48"/>
  <c r="Q50" i="48"/>
  <c r="AA50" i="48"/>
  <c r="H50" i="48"/>
  <c r="AI50" i="48"/>
  <c r="M50" i="48"/>
  <c r="AH50" i="48"/>
  <c r="J50" i="48"/>
  <c r="AG50" i="48"/>
  <c r="I50" i="48"/>
  <c r="Z50" i="48"/>
  <c r="G50" i="48"/>
  <c r="AU50" i="48"/>
  <c r="Y50" i="48"/>
  <c r="F50" i="48"/>
  <c r="E50" i="48"/>
  <c r="AM55" i="48"/>
  <c r="Y55" i="48"/>
  <c r="M55" i="48"/>
  <c r="AL55" i="48"/>
  <c r="X55" i="48"/>
  <c r="L55" i="48"/>
  <c r="AT55" i="48"/>
  <c r="AF55" i="48"/>
  <c r="P55" i="48"/>
  <c r="AS55" i="48"/>
  <c r="AE55" i="48"/>
  <c r="O55" i="48"/>
  <c r="AQ55" i="48"/>
  <c r="K55" i="48"/>
  <c r="AR55" i="48"/>
  <c r="AD55" i="48"/>
  <c r="N55" i="48"/>
  <c r="AP55" i="48"/>
  <c r="U55" i="48"/>
  <c r="AO55" i="48"/>
  <c r="T55" i="48"/>
  <c r="AI55" i="48"/>
  <c r="J55" i="48"/>
  <c r="AN55" i="48"/>
  <c r="S55" i="48"/>
  <c r="AK55" i="48"/>
  <c r="R55" i="48"/>
  <c r="AJ55" i="48"/>
  <c r="Q55" i="48"/>
  <c r="AH55" i="48"/>
  <c r="I55" i="48"/>
  <c r="AG55" i="48"/>
  <c r="H55" i="48"/>
  <c r="AS49" i="48"/>
  <c r="AG49" i="48"/>
  <c r="S49" i="48"/>
  <c r="G49" i="48"/>
  <c r="AR49" i="48"/>
  <c r="AF49" i="48"/>
  <c r="R49" i="48"/>
  <c r="F49" i="48"/>
  <c r="AU49" i="48"/>
  <c r="AE49" i="48"/>
  <c r="O49" i="48"/>
  <c r="AT49" i="48"/>
  <c r="AD49" i="48"/>
  <c r="N49" i="48"/>
  <c r="AQ49" i="48"/>
  <c r="AA49" i="48"/>
  <c r="M49" i="48"/>
  <c r="AO49" i="48"/>
  <c r="V49" i="48"/>
  <c r="AN49" i="48"/>
  <c r="U49" i="48"/>
  <c r="AJ49" i="48"/>
  <c r="L49" i="48"/>
  <c r="AM49" i="48"/>
  <c r="T49" i="48"/>
  <c r="AL49" i="48"/>
  <c r="Q49" i="48"/>
  <c r="AK49" i="48"/>
  <c r="P49" i="48"/>
  <c r="AI49" i="48"/>
  <c r="K49" i="48"/>
  <c r="AH49" i="48"/>
  <c r="J49" i="48"/>
  <c r="S50" i="48"/>
  <c r="E55" i="48"/>
  <c r="T50" i="48"/>
  <c r="X49" i="48"/>
  <c r="AO50" i="48"/>
  <c r="F54" i="48"/>
  <c r="Z55" i="48"/>
  <c r="AK57" i="48"/>
  <c r="W57" i="48"/>
  <c r="K57" i="48"/>
  <c r="AJ57" i="48"/>
  <c r="V57" i="48"/>
  <c r="J57" i="48"/>
  <c r="AT57" i="48"/>
  <c r="AF57" i="48"/>
  <c r="P57" i="48"/>
  <c r="AS57" i="48"/>
  <c r="AE57" i="48"/>
  <c r="O57" i="48"/>
  <c r="AQ57" i="48"/>
  <c r="AA57" i="48"/>
  <c r="M57" i="48"/>
  <c r="AR57" i="48"/>
  <c r="AD57" i="48"/>
  <c r="N57" i="48"/>
  <c r="AO57" i="48"/>
  <c r="S57" i="48"/>
  <c r="AN57" i="48"/>
  <c r="R57" i="48"/>
  <c r="AH57" i="48"/>
  <c r="H57" i="48"/>
  <c r="AM57" i="48"/>
  <c r="Q57" i="48"/>
  <c r="AL57" i="48"/>
  <c r="L57" i="48"/>
  <c r="AI57" i="48"/>
  <c r="I57" i="48"/>
  <c r="AG57" i="48"/>
  <c r="G57" i="48"/>
  <c r="Z57" i="48"/>
  <c r="F57" i="48"/>
  <c r="Y59" i="48"/>
  <c r="Q42" i="48"/>
  <c r="AK45" i="48"/>
  <c r="W45" i="48"/>
  <c r="K45" i="48"/>
  <c r="AJ45" i="48"/>
  <c r="V45" i="48"/>
  <c r="J45" i="48"/>
  <c r="AT45" i="48"/>
  <c r="AF45" i="48"/>
  <c r="P45" i="48"/>
  <c r="AS45" i="48"/>
  <c r="AE45" i="48"/>
  <c r="O45" i="48"/>
  <c r="AR45" i="48"/>
  <c r="AD45" i="48"/>
  <c r="N45" i="48"/>
  <c r="AM45" i="48"/>
  <c r="R45" i="48"/>
  <c r="AL45" i="48"/>
  <c r="Q45" i="48"/>
  <c r="AA45" i="48"/>
  <c r="H45" i="48"/>
  <c r="AI45" i="48"/>
  <c r="M45" i="48"/>
  <c r="AH45" i="48"/>
  <c r="L45" i="48"/>
  <c r="AG45" i="48"/>
  <c r="I45" i="48"/>
  <c r="Z45" i="48"/>
  <c r="G45" i="48"/>
  <c r="AU45" i="48"/>
  <c r="Y45" i="48"/>
  <c r="F45" i="48"/>
  <c r="Y49" i="48"/>
  <c r="AP50" i="48"/>
  <c r="I54" i="48"/>
  <c r="AA55" i="48"/>
  <c r="E57" i="48"/>
  <c r="Z59" i="48"/>
  <c r="E49" i="48"/>
  <c r="F55" i="48"/>
  <c r="U42" i="48"/>
  <c r="Z49" i="48"/>
  <c r="AQ50" i="48"/>
  <c r="W54" i="48"/>
  <c r="AU55" i="48"/>
  <c r="T57" i="48"/>
  <c r="AR59" i="48"/>
  <c r="AT61" i="48"/>
  <c r="AH61" i="48"/>
  <c r="T61" i="48"/>
  <c r="H61" i="48"/>
  <c r="AS61" i="48"/>
  <c r="AG61" i="48"/>
  <c r="S61" i="48"/>
  <c r="G61" i="48"/>
  <c r="AR61" i="48"/>
  <c r="AF61" i="48"/>
  <c r="R61" i="48"/>
  <c r="F61" i="48"/>
  <c r="AQ61" i="48"/>
  <c r="Z61" i="48"/>
  <c r="K61" i="48"/>
  <c r="AP61" i="48"/>
  <c r="Y61" i="48"/>
  <c r="J61" i="48"/>
  <c r="AN61" i="48"/>
  <c r="W61" i="48"/>
  <c r="E61" i="48"/>
  <c r="AO61" i="48"/>
  <c r="X61" i="48"/>
  <c r="I61" i="48"/>
  <c r="AI61" i="48"/>
  <c r="AO41" i="48"/>
  <c r="AA41" i="48"/>
  <c r="O41" i="48"/>
  <c r="C41" i="48"/>
  <c r="AN41" i="48"/>
  <c r="Z41" i="48"/>
  <c r="N41" i="48"/>
  <c r="AM41" i="48"/>
  <c r="Y41" i="48"/>
  <c r="M41" i="48"/>
  <c r="S41" i="48"/>
  <c r="AJ41" i="48"/>
  <c r="L61" i="48"/>
  <c r="AJ61" i="48"/>
  <c r="E41" i="48"/>
  <c r="T41" i="48"/>
  <c r="AK41" i="48"/>
  <c r="M61" i="48"/>
  <c r="AK61" i="48"/>
  <c r="G41" i="48"/>
  <c r="V41" i="48"/>
  <c r="AP41" i="48"/>
  <c r="E47" i="48"/>
  <c r="X47" i="48"/>
  <c r="E52" i="48"/>
  <c r="X52" i="48"/>
  <c r="AT52" i="48"/>
  <c r="O61" i="48"/>
  <c r="AM61" i="48"/>
  <c r="E66" i="48"/>
  <c r="AJ66" i="48"/>
  <c r="H41" i="48"/>
  <c r="W41" i="48"/>
  <c r="AQ41" i="48"/>
  <c r="AM43" i="48"/>
  <c r="Y43" i="48"/>
  <c r="M43" i="48"/>
  <c r="AL43" i="48"/>
  <c r="X43" i="48"/>
  <c r="L43" i="48"/>
  <c r="AT43" i="48"/>
  <c r="AF43" i="48"/>
  <c r="P43" i="48"/>
  <c r="AS43" i="48"/>
  <c r="AE43" i="48"/>
  <c r="O43" i="48"/>
  <c r="AR43" i="48"/>
  <c r="AD43" i="48"/>
  <c r="N43" i="48"/>
  <c r="U43" i="48"/>
  <c r="AP43" i="48"/>
  <c r="F47" i="48"/>
  <c r="Y47" i="48"/>
  <c r="AN48" i="48"/>
  <c r="Z48" i="48"/>
  <c r="N48" i="48"/>
  <c r="AM48" i="48"/>
  <c r="Y48" i="48"/>
  <c r="M48" i="48"/>
  <c r="AT48" i="48"/>
  <c r="AF48" i="48"/>
  <c r="P48" i="48"/>
  <c r="AS48" i="48"/>
  <c r="AE48" i="48"/>
  <c r="O48" i="48"/>
  <c r="AR48" i="48"/>
  <c r="AD48" i="48"/>
  <c r="L48" i="48"/>
  <c r="U48" i="48"/>
  <c r="AP48" i="48"/>
  <c r="F52" i="48"/>
  <c r="Y52" i="48"/>
  <c r="AO53" i="48"/>
  <c r="AA53" i="48"/>
  <c r="O53" i="48"/>
  <c r="AN53" i="48"/>
  <c r="Z53" i="48"/>
  <c r="N53" i="48"/>
  <c r="AT53" i="48"/>
  <c r="AF53" i="48"/>
  <c r="P53" i="48"/>
  <c r="AS53" i="48"/>
  <c r="AE53" i="48"/>
  <c r="M53" i="48"/>
  <c r="AR53" i="48"/>
  <c r="AD53" i="48"/>
  <c r="L53" i="48"/>
  <c r="U53" i="48"/>
  <c r="AP53" i="48"/>
  <c r="P61" i="48"/>
  <c r="AU61" i="48"/>
  <c r="AK64" i="48"/>
  <c r="W64" i="48"/>
  <c r="K64" i="48"/>
  <c r="AJ64" i="48"/>
  <c r="V64" i="48"/>
  <c r="J64" i="48"/>
  <c r="AU64" i="48"/>
  <c r="AI64" i="48"/>
  <c r="U64" i="48"/>
  <c r="I64" i="48"/>
  <c r="AL64" i="48"/>
  <c r="R64" i="48"/>
  <c r="AH64" i="48"/>
  <c r="Q64" i="48"/>
  <c r="AF64" i="48"/>
  <c r="O64" i="48"/>
  <c r="AG64" i="48"/>
  <c r="P64" i="48"/>
  <c r="Z64" i="48"/>
  <c r="M66" i="48"/>
  <c r="AK66" i="48"/>
  <c r="I41" i="48"/>
  <c r="X41" i="48"/>
  <c r="AR41" i="48"/>
  <c r="E43" i="48"/>
  <c r="V43" i="48"/>
  <c r="AQ43" i="48"/>
  <c r="G47" i="48"/>
  <c r="E48" i="48"/>
  <c r="V48" i="48"/>
  <c r="AQ48" i="48"/>
  <c r="G52" i="48"/>
  <c r="E53" i="48"/>
  <c r="V53" i="48"/>
  <c r="AQ53" i="48"/>
  <c r="Q61" i="48"/>
  <c r="E64" i="48"/>
  <c r="AA64" i="48"/>
  <c r="N66" i="48"/>
  <c r="F41" i="48"/>
  <c r="U41" i="48"/>
  <c r="AL41" i="48"/>
  <c r="AU47" i="48"/>
  <c r="AI47" i="48"/>
  <c r="U47" i="48"/>
  <c r="I47" i="48"/>
  <c r="AT47" i="48"/>
  <c r="AH47" i="48"/>
  <c r="T47" i="48"/>
  <c r="H47" i="48"/>
  <c r="AS47" i="48"/>
  <c r="AE47" i="48"/>
  <c r="O47" i="48"/>
  <c r="AR47" i="48"/>
  <c r="AD47" i="48"/>
  <c r="N47" i="48"/>
  <c r="AQ47" i="48"/>
  <c r="AA47" i="48"/>
  <c r="M47" i="48"/>
  <c r="W47" i="48"/>
  <c r="AP47" i="48"/>
  <c r="AJ52" i="48"/>
  <c r="V52" i="48"/>
  <c r="J52" i="48"/>
  <c r="AU52" i="48"/>
  <c r="AI52" i="48"/>
  <c r="U52" i="48"/>
  <c r="I52" i="48"/>
  <c r="AS52" i="48"/>
  <c r="AE52" i="48"/>
  <c r="O52" i="48"/>
  <c r="AR52" i="48"/>
  <c r="AD52" i="48"/>
  <c r="N52" i="48"/>
  <c r="AQ52" i="48"/>
  <c r="AA52" i="48"/>
  <c r="M52" i="48"/>
  <c r="W52" i="48"/>
  <c r="AP52" i="48"/>
  <c r="N61" i="48"/>
  <c r="AL61" i="48"/>
  <c r="AU66" i="48"/>
  <c r="AI66" i="48"/>
  <c r="U66" i="48"/>
  <c r="I66" i="48"/>
  <c r="AT66" i="48"/>
  <c r="AH66" i="48"/>
  <c r="T66" i="48"/>
  <c r="H66" i="48"/>
  <c r="AS66" i="48"/>
  <c r="AG66" i="48"/>
  <c r="S66" i="48"/>
  <c r="G66" i="48"/>
  <c r="AR66" i="48"/>
  <c r="AA66" i="48"/>
  <c r="L66" i="48"/>
  <c r="AQ66" i="48"/>
  <c r="Z66" i="48"/>
  <c r="K66" i="48"/>
  <c r="AO66" i="48"/>
  <c r="X66" i="48"/>
  <c r="F66" i="48"/>
  <c r="AP66" i="48"/>
  <c r="Y66" i="48"/>
  <c r="J66" i="48"/>
  <c r="AF66" i="48"/>
  <c r="J41" i="48"/>
  <c r="AD41" i="48"/>
  <c r="AS41" i="48"/>
  <c r="F43" i="48"/>
  <c r="W43" i="48"/>
  <c r="AU43" i="48"/>
  <c r="J47" i="48"/>
  <c r="AF47" i="48"/>
  <c r="F48" i="48"/>
  <c r="W48" i="48"/>
  <c r="AU48" i="48"/>
  <c r="H52" i="48"/>
  <c r="AF52" i="48"/>
  <c r="F53" i="48"/>
  <c r="W53" i="48"/>
  <c r="AU53" i="48"/>
  <c r="U61" i="48"/>
  <c r="AM62" i="48"/>
  <c r="Y62" i="48"/>
  <c r="M62" i="48"/>
  <c r="AL62" i="48"/>
  <c r="X62" i="48"/>
  <c r="L62" i="48"/>
  <c r="AK62" i="48"/>
  <c r="W62" i="48"/>
  <c r="K62" i="48"/>
  <c r="AG62" i="48"/>
  <c r="P62" i="48"/>
  <c r="AU62" i="48"/>
  <c r="AF62" i="48"/>
  <c r="O62" i="48"/>
  <c r="AS62" i="48"/>
  <c r="AD62" i="48"/>
  <c r="J62" i="48"/>
  <c r="AT62" i="48"/>
  <c r="AE62" i="48"/>
  <c r="N62" i="48"/>
  <c r="Z62" i="48"/>
  <c r="F64" i="48"/>
  <c r="AD64" i="48"/>
  <c r="O66" i="48"/>
  <c r="AM66" i="48"/>
  <c r="K41" i="48"/>
  <c r="AE41" i="48"/>
  <c r="AT41" i="48"/>
  <c r="G43" i="48"/>
  <c r="Z43" i="48"/>
  <c r="K47" i="48"/>
  <c r="AG47" i="48"/>
  <c r="G48" i="48"/>
  <c r="X48" i="48"/>
  <c r="K52" i="48"/>
  <c r="AG52" i="48"/>
  <c r="G53" i="48"/>
  <c r="X53" i="48"/>
  <c r="V61" i="48"/>
  <c r="G64" i="48"/>
  <c r="AE64" i="48"/>
  <c r="P66" i="48"/>
  <c r="AN66" i="48"/>
  <c r="AO60" i="48"/>
  <c r="AA60" i="48"/>
  <c r="O60" i="48"/>
  <c r="AN60" i="48"/>
  <c r="Z60" i="48"/>
  <c r="N60" i="48"/>
  <c r="AM60" i="48"/>
  <c r="Y60" i="48"/>
  <c r="M60" i="48"/>
  <c r="S60" i="48"/>
  <c r="AJ60" i="48"/>
  <c r="E60" i="48"/>
  <c r="T60" i="48"/>
  <c r="AK60" i="48"/>
  <c r="F60" i="48"/>
  <c r="U60" i="48"/>
  <c r="AL60" i="48"/>
  <c r="O46" i="48"/>
  <c r="AA46" i="48"/>
  <c r="AO46" i="48"/>
  <c r="P51" i="48"/>
  <c r="AD51" i="48"/>
  <c r="AP51" i="48"/>
  <c r="O58" i="48"/>
  <c r="AA58" i="48"/>
  <c r="AO58" i="48"/>
  <c r="P63" i="48"/>
  <c r="AD63" i="48"/>
  <c r="AP63" i="48"/>
  <c r="N65" i="48"/>
  <c r="Z65" i="48"/>
  <c r="AN65" i="48"/>
  <c r="P46" i="48"/>
  <c r="AD46" i="48"/>
  <c r="E51" i="48"/>
  <c r="Q51" i="48"/>
  <c r="AE51" i="48"/>
  <c r="P58" i="48"/>
  <c r="AD58" i="48"/>
  <c r="E63" i="48"/>
  <c r="Q63" i="48"/>
  <c r="AE63" i="48"/>
  <c r="O65" i="48"/>
  <c r="AA65" i="48"/>
  <c r="AO65" i="48"/>
  <c r="P65" i="48"/>
  <c r="AD65" i="48"/>
  <c r="AL45" i="49"/>
  <c r="X45" i="49"/>
  <c r="L45" i="49"/>
  <c r="AI45" i="49"/>
  <c r="T45" i="49"/>
  <c r="G45" i="49"/>
  <c r="AT45" i="49"/>
  <c r="AG45" i="49"/>
  <c r="R45" i="49"/>
  <c r="E45" i="49"/>
  <c r="AU45" i="49"/>
  <c r="AH45" i="49"/>
  <c r="S45" i="49"/>
  <c r="F45" i="49"/>
  <c r="AR43" i="49"/>
  <c r="AS47" i="49"/>
  <c r="AS43" i="49"/>
  <c r="AE47" i="49"/>
  <c r="AU42" i="49"/>
  <c r="AT42" i="49"/>
  <c r="AH42" i="49"/>
  <c r="T42" i="49"/>
  <c r="H42" i="49"/>
  <c r="AR42" i="49"/>
  <c r="AF42" i="49"/>
  <c r="R42" i="49"/>
  <c r="F42" i="49"/>
  <c r="AS42" i="49"/>
  <c r="AG42" i="49"/>
  <c r="S42" i="49"/>
  <c r="G42" i="49"/>
  <c r="E48" i="49"/>
  <c r="E42" i="49"/>
  <c r="W42" i="49"/>
  <c r="AN42" i="49"/>
  <c r="K43" i="49"/>
  <c r="AS44" i="49"/>
  <c r="AG44" i="49"/>
  <c r="S44" i="49"/>
  <c r="G44" i="49"/>
  <c r="AM44" i="49"/>
  <c r="X44" i="49"/>
  <c r="K44" i="49"/>
  <c r="AK44" i="49"/>
  <c r="V44" i="49"/>
  <c r="I44" i="49"/>
  <c r="AL44" i="49"/>
  <c r="W44" i="49"/>
  <c r="J44" i="49"/>
  <c r="U44" i="49"/>
  <c r="AP44" i="49"/>
  <c r="N45" i="49"/>
  <c r="AF45" i="49"/>
  <c r="G46" i="49"/>
  <c r="W46" i="49"/>
  <c r="P47" i="49"/>
  <c r="F48" i="49"/>
  <c r="Y48" i="49"/>
  <c r="L51" i="49"/>
  <c r="AD51" i="49"/>
  <c r="U52" i="49"/>
  <c r="F54" i="49"/>
  <c r="R57" i="49"/>
  <c r="N58" i="49"/>
  <c r="S60" i="49"/>
  <c r="O61" i="49"/>
  <c r="K62" i="49"/>
  <c r="E64" i="49"/>
  <c r="V64" i="49"/>
  <c r="AK52" i="49"/>
  <c r="W52" i="49"/>
  <c r="K52" i="49"/>
  <c r="AI52" i="49"/>
  <c r="T52" i="49"/>
  <c r="G52" i="49"/>
  <c r="AT52" i="49"/>
  <c r="AG52" i="49"/>
  <c r="E52" i="49"/>
  <c r="AF52" i="49"/>
  <c r="AU52" i="49"/>
  <c r="AH52" i="49"/>
  <c r="S52" i="49"/>
  <c r="F52" i="49"/>
  <c r="R52" i="49"/>
  <c r="X52" i="49"/>
  <c r="AQ52" i="49"/>
  <c r="AO60" i="49"/>
  <c r="AA60" i="49"/>
  <c r="O60" i="49"/>
  <c r="AR60" i="49"/>
  <c r="AE60" i="49"/>
  <c r="P60" i="49"/>
  <c r="AP60" i="49"/>
  <c r="Z60" i="49"/>
  <c r="M60" i="49"/>
  <c r="AN60" i="49"/>
  <c r="Y60" i="49"/>
  <c r="L60" i="49"/>
  <c r="AQ60" i="49"/>
  <c r="AD60" i="49"/>
  <c r="N60" i="49"/>
  <c r="U60" i="49"/>
  <c r="AS60" i="49"/>
  <c r="H52" i="49"/>
  <c r="Y52" i="49"/>
  <c r="AR52" i="49"/>
  <c r="AL57" i="49"/>
  <c r="X57" i="49"/>
  <c r="L57" i="49"/>
  <c r="AP57" i="49"/>
  <c r="AA57" i="49"/>
  <c r="N57" i="49"/>
  <c r="AN57" i="49"/>
  <c r="Y57" i="49"/>
  <c r="K57" i="49"/>
  <c r="AM57" i="49"/>
  <c r="W57" i="49"/>
  <c r="J57" i="49"/>
  <c r="AO57" i="49"/>
  <c r="Z57" i="49"/>
  <c r="M57" i="49"/>
  <c r="U57" i="49"/>
  <c r="AS57" i="49"/>
  <c r="E60" i="49"/>
  <c r="V60" i="49"/>
  <c r="AT60" i="49"/>
  <c r="AJ47" i="49"/>
  <c r="V47" i="49"/>
  <c r="J47" i="49"/>
  <c r="AO47" i="49"/>
  <c r="Z47" i="49"/>
  <c r="M47" i="49"/>
  <c r="AM47" i="49"/>
  <c r="X47" i="49"/>
  <c r="K47" i="49"/>
  <c r="AN47" i="49"/>
  <c r="Y47" i="49"/>
  <c r="L47" i="49"/>
  <c r="T47" i="49"/>
  <c r="AP47" i="49"/>
  <c r="I52" i="49"/>
  <c r="Z52" i="49"/>
  <c r="AS52" i="49"/>
  <c r="E57" i="49"/>
  <c r="V57" i="49"/>
  <c r="AT57" i="49"/>
  <c r="F60" i="49"/>
  <c r="W60" i="49"/>
  <c r="AU60" i="49"/>
  <c r="AN43" i="49"/>
  <c r="Z43" i="49"/>
  <c r="N43" i="49"/>
  <c r="AQ43" i="49"/>
  <c r="AD43" i="49"/>
  <c r="O43" i="49"/>
  <c r="AO43" i="49"/>
  <c r="Y43" i="49"/>
  <c r="L43" i="49"/>
  <c r="AP43" i="49"/>
  <c r="AA43" i="49"/>
  <c r="M43" i="49"/>
  <c r="T43" i="49"/>
  <c r="AL43" i="49"/>
  <c r="E47" i="49"/>
  <c r="U47" i="49"/>
  <c r="AQ47" i="49"/>
  <c r="J52" i="49"/>
  <c r="AA52" i="49"/>
  <c r="F57" i="49"/>
  <c r="AD57" i="49"/>
  <c r="AU57" i="49"/>
  <c r="G60" i="49"/>
  <c r="X60" i="49"/>
  <c r="E43" i="49"/>
  <c r="U43" i="49"/>
  <c r="AM43" i="49"/>
  <c r="W45" i="49"/>
  <c r="AP45" i="49"/>
  <c r="F47" i="49"/>
  <c r="W47" i="49"/>
  <c r="AR47" i="49"/>
  <c r="L52" i="49"/>
  <c r="AD52" i="49"/>
  <c r="G57" i="49"/>
  <c r="AE57" i="49"/>
  <c r="H60" i="49"/>
  <c r="AF60" i="49"/>
  <c r="AT61" i="49"/>
  <c r="AH61" i="49"/>
  <c r="T61" i="49"/>
  <c r="H61" i="49"/>
  <c r="AN61" i="49"/>
  <c r="Y61" i="49"/>
  <c r="L61" i="49"/>
  <c r="AL61" i="49"/>
  <c r="W61" i="49"/>
  <c r="J61" i="49"/>
  <c r="AK61" i="49"/>
  <c r="V61" i="49"/>
  <c r="I61" i="49"/>
  <c r="AM61" i="49"/>
  <c r="X61" i="49"/>
  <c r="K61" i="49"/>
  <c r="Z61" i="49"/>
  <c r="AS61" i="49"/>
  <c r="F43" i="49"/>
  <c r="V43" i="49"/>
  <c r="H45" i="49"/>
  <c r="Y45" i="49"/>
  <c r="AQ45" i="49"/>
  <c r="G47" i="49"/>
  <c r="AA47" i="49"/>
  <c r="M52" i="49"/>
  <c r="AE52" i="49"/>
  <c r="H57" i="49"/>
  <c r="AF57" i="49"/>
  <c r="AQ58" i="49"/>
  <c r="AE58" i="49"/>
  <c r="Q58" i="49"/>
  <c r="E58" i="49"/>
  <c r="AL58" i="49"/>
  <c r="W58" i="49"/>
  <c r="J58" i="49"/>
  <c r="AJ58" i="49"/>
  <c r="U58" i="49"/>
  <c r="H58" i="49"/>
  <c r="AI58" i="49"/>
  <c r="T58" i="49"/>
  <c r="G58" i="49"/>
  <c r="AK58" i="49"/>
  <c r="V58" i="49"/>
  <c r="I58" i="49"/>
  <c r="Z58" i="49"/>
  <c r="AT58" i="49"/>
  <c r="I60" i="49"/>
  <c r="AG60" i="49"/>
  <c r="E61" i="49"/>
  <c r="AA61" i="49"/>
  <c r="AU61" i="49"/>
  <c r="G43" i="49"/>
  <c r="W43" i="49"/>
  <c r="I45" i="49"/>
  <c r="Z45" i="49"/>
  <c r="AR45" i="49"/>
  <c r="H47" i="49"/>
  <c r="AD47" i="49"/>
  <c r="AT47" i="49"/>
  <c r="AR51" i="49"/>
  <c r="AF51" i="49"/>
  <c r="R51" i="49"/>
  <c r="F51" i="49"/>
  <c r="AM51" i="49"/>
  <c r="X51" i="49"/>
  <c r="K51" i="49"/>
  <c r="AK51" i="49"/>
  <c r="V51" i="49"/>
  <c r="I51" i="49"/>
  <c r="AL51" i="49"/>
  <c r="W51" i="49"/>
  <c r="J51" i="49"/>
  <c r="U51" i="49"/>
  <c r="AP51" i="49"/>
  <c r="N52" i="49"/>
  <c r="AJ52" i="49"/>
  <c r="I57" i="49"/>
  <c r="AG57" i="49"/>
  <c r="F58" i="49"/>
  <c r="AA58" i="49"/>
  <c r="AU58" i="49"/>
  <c r="J60" i="49"/>
  <c r="AH60" i="49"/>
  <c r="F61" i="49"/>
  <c r="AD61" i="49"/>
  <c r="H43" i="49"/>
  <c r="X43" i="49"/>
  <c r="AT43" i="49"/>
  <c r="J45" i="49"/>
  <c r="AA45" i="49"/>
  <c r="AS45" i="49"/>
  <c r="I47" i="49"/>
  <c r="AU47" i="49"/>
  <c r="E51" i="49"/>
  <c r="Y51" i="49"/>
  <c r="AQ51" i="49"/>
  <c r="O52" i="49"/>
  <c r="AL52" i="49"/>
  <c r="O57" i="49"/>
  <c r="AH57" i="49"/>
  <c r="K58" i="49"/>
  <c r="AD58" i="49"/>
  <c r="K60" i="49"/>
  <c r="AI60" i="49"/>
  <c r="G61" i="49"/>
  <c r="AE61" i="49"/>
  <c r="AM62" i="49"/>
  <c r="Y62" i="49"/>
  <c r="M62" i="49"/>
  <c r="AJ62" i="49"/>
  <c r="U62" i="49"/>
  <c r="H62" i="49"/>
  <c r="AU62" i="49"/>
  <c r="AH62" i="49"/>
  <c r="S62" i="49"/>
  <c r="F62" i="49"/>
  <c r="AT62" i="49"/>
  <c r="AG62" i="49"/>
  <c r="R62" i="49"/>
  <c r="E62" i="49"/>
  <c r="AI62" i="49"/>
  <c r="T62" i="49"/>
  <c r="G62" i="49"/>
  <c r="Z62" i="49"/>
  <c r="AS62" i="49"/>
  <c r="I43" i="49"/>
  <c r="AE43" i="49"/>
  <c r="AU43" i="49"/>
  <c r="K45" i="49"/>
  <c r="AD45" i="49"/>
  <c r="AQ46" i="49"/>
  <c r="AE46" i="49"/>
  <c r="Q46" i="49"/>
  <c r="E46" i="49"/>
  <c r="AS46" i="49"/>
  <c r="AF46" i="49"/>
  <c r="P46" i="49"/>
  <c r="AP46" i="49"/>
  <c r="AA46" i="49"/>
  <c r="N46" i="49"/>
  <c r="AR46" i="49"/>
  <c r="AD46" i="49"/>
  <c r="O46" i="49"/>
  <c r="U46" i="49"/>
  <c r="AM46" i="49"/>
  <c r="N47" i="49"/>
  <c r="AF47" i="49"/>
  <c r="AO48" i="49"/>
  <c r="AA48" i="49"/>
  <c r="O48" i="49"/>
  <c r="AK48" i="49"/>
  <c r="V48" i="49"/>
  <c r="I48" i="49"/>
  <c r="AI48" i="49"/>
  <c r="T48" i="49"/>
  <c r="G48" i="49"/>
  <c r="AJ48" i="49"/>
  <c r="U48" i="49"/>
  <c r="H48" i="49"/>
  <c r="W48" i="49"/>
  <c r="AP48" i="49"/>
  <c r="G51" i="49"/>
  <c r="Z51" i="49"/>
  <c r="AS51" i="49"/>
  <c r="P52" i="49"/>
  <c r="AM52" i="49"/>
  <c r="AU54" i="49"/>
  <c r="AI54" i="49"/>
  <c r="U54" i="49"/>
  <c r="I54" i="49"/>
  <c r="AN54" i="49"/>
  <c r="Y54" i="49"/>
  <c r="L54" i="49"/>
  <c r="AL54" i="49"/>
  <c r="W54" i="49"/>
  <c r="J54" i="49"/>
  <c r="AK54" i="49"/>
  <c r="V54" i="49"/>
  <c r="H54" i="49"/>
  <c r="AM54" i="49"/>
  <c r="X54" i="49"/>
  <c r="K54" i="49"/>
  <c r="Z54" i="49"/>
  <c r="AS54" i="49"/>
  <c r="P57" i="49"/>
  <c r="AI57" i="49"/>
  <c r="L58" i="49"/>
  <c r="AF58" i="49"/>
  <c r="Q60" i="49"/>
  <c r="AJ60" i="49"/>
  <c r="M61" i="49"/>
  <c r="AF61" i="49"/>
  <c r="I62" i="49"/>
  <c r="AA62" i="49"/>
  <c r="V42" i="49"/>
  <c r="AM42" i="49"/>
  <c r="J43" i="49"/>
  <c r="AF43" i="49"/>
  <c r="M45" i="49"/>
  <c r="AE45" i="49"/>
  <c r="F46" i="49"/>
  <c r="V46" i="49"/>
  <c r="AN46" i="49"/>
  <c r="O47" i="49"/>
  <c r="AG47" i="49"/>
  <c r="X48" i="49"/>
  <c r="AQ48" i="49"/>
  <c r="H51" i="49"/>
  <c r="AA51" i="49"/>
  <c r="AT51" i="49"/>
  <c r="Q52" i="49"/>
  <c r="AN52" i="49"/>
  <c r="E54" i="49"/>
  <c r="AA54" i="49"/>
  <c r="AT54" i="49"/>
  <c r="Q57" i="49"/>
  <c r="AJ57" i="49"/>
  <c r="M58" i="49"/>
  <c r="AG58" i="49"/>
  <c r="R60" i="49"/>
  <c r="AK60" i="49"/>
  <c r="N61" i="49"/>
  <c r="AG61" i="49"/>
  <c r="J62" i="49"/>
  <c r="AD62" i="49"/>
  <c r="AK64" i="49"/>
  <c r="W64" i="49"/>
  <c r="K64" i="49"/>
  <c r="AP64" i="49"/>
  <c r="AA64" i="49"/>
  <c r="N64" i="49"/>
  <c r="AN64" i="49"/>
  <c r="Y64" i="49"/>
  <c r="L64" i="49"/>
  <c r="AM64" i="49"/>
  <c r="X64" i="49"/>
  <c r="J64" i="49"/>
  <c r="AO64" i="49"/>
  <c r="Z64" i="49"/>
  <c r="M64" i="49"/>
  <c r="U64" i="49"/>
  <c r="AS64" i="49"/>
  <c r="AO41" i="49"/>
  <c r="AA41" i="49"/>
  <c r="O41" i="49"/>
  <c r="C41" i="49"/>
  <c r="AM41" i="49"/>
  <c r="Y41" i="49"/>
  <c r="M41" i="49"/>
  <c r="AN41" i="49"/>
  <c r="Z41" i="49"/>
  <c r="N41" i="49"/>
  <c r="S41" i="49"/>
  <c r="AJ41" i="49"/>
  <c r="I42" i="49"/>
  <c r="X42" i="49"/>
  <c r="AO42" i="49"/>
  <c r="P43" i="49"/>
  <c r="AH43" i="49"/>
  <c r="E44" i="49"/>
  <c r="Y44" i="49"/>
  <c r="AQ44" i="49"/>
  <c r="O45" i="49"/>
  <c r="AJ45" i="49"/>
  <c r="H46" i="49"/>
  <c r="X46" i="49"/>
  <c r="AT46" i="49"/>
  <c r="Q47" i="49"/>
  <c r="AI47" i="49"/>
  <c r="J48" i="49"/>
  <c r="Z48" i="49"/>
  <c r="AS48" i="49"/>
  <c r="AM50" i="49"/>
  <c r="Y50" i="49"/>
  <c r="M50" i="49"/>
  <c r="AQ50" i="49"/>
  <c r="AD50" i="49"/>
  <c r="O50" i="49"/>
  <c r="AO50" i="49"/>
  <c r="Z50" i="49"/>
  <c r="L50" i="49"/>
  <c r="AP50" i="49"/>
  <c r="AA50" i="49"/>
  <c r="N50" i="49"/>
  <c r="T50" i="49"/>
  <c r="AL50" i="49"/>
  <c r="M51" i="49"/>
  <c r="AE51" i="49"/>
  <c r="V52" i="49"/>
  <c r="AP52" i="49"/>
  <c r="G54" i="49"/>
  <c r="AE54" i="49"/>
  <c r="AN55" i="49"/>
  <c r="Z55" i="49"/>
  <c r="N55" i="49"/>
  <c r="AJ55" i="49"/>
  <c r="U55" i="49"/>
  <c r="H55" i="49"/>
  <c r="AU55" i="49"/>
  <c r="AH55" i="49"/>
  <c r="S55" i="49"/>
  <c r="F55" i="49"/>
  <c r="AT55" i="49"/>
  <c r="AG55" i="49"/>
  <c r="R55" i="49"/>
  <c r="E55" i="49"/>
  <c r="AI55" i="49"/>
  <c r="T55" i="49"/>
  <c r="G55" i="49"/>
  <c r="Y55" i="49"/>
  <c r="AS55" i="49"/>
  <c r="S57" i="49"/>
  <c r="AQ57" i="49"/>
  <c r="O58" i="49"/>
  <c r="AM58" i="49"/>
  <c r="T60" i="49"/>
  <c r="AM60" i="49"/>
  <c r="P61" i="49"/>
  <c r="AJ61" i="49"/>
  <c r="L62" i="49"/>
  <c r="AF62" i="49"/>
  <c r="F64" i="49"/>
  <c r="AD64" i="49"/>
  <c r="AU64" i="49"/>
  <c r="AT49" i="49"/>
  <c r="AH49" i="49"/>
  <c r="T49" i="49"/>
  <c r="H49" i="49"/>
  <c r="Q49" i="49"/>
  <c r="AF49" i="49"/>
  <c r="AS49" i="49"/>
  <c r="E59" i="49"/>
  <c r="R59" i="49"/>
  <c r="AG59" i="49"/>
  <c r="AU66" i="49"/>
  <c r="AI66" i="49"/>
  <c r="U66" i="49"/>
  <c r="I66" i="49"/>
  <c r="Q66" i="49"/>
  <c r="AF66" i="49"/>
  <c r="AS66" i="49"/>
  <c r="AJ59" i="49"/>
  <c r="V59" i="49"/>
  <c r="J59" i="49"/>
  <c r="Q59" i="49"/>
  <c r="AF59" i="49"/>
  <c r="AS59" i="49"/>
  <c r="E49" i="49"/>
  <c r="R49" i="49"/>
  <c r="AG49" i="49"/>
  <c r="AU49" i="49"/>
  <c r="AS56" i="49"/>
  <c r="AG56" i="49"/>
  <c r="S56" i="49"/>
  <c r="G56" i="49"/>
  <c r="Q56" i="49"/>
  <c r="AF56" i="49"/>
  <c r="AT56" i="49"/>
  <c r="F59" i="49"/>
  <c r="S59" i="49"/>
  <c r="AH59" i="49"/>
  <c r="AU59" i="49"/>
  <c r="AR63" i="49"/>
  <c r="AF63" i="49"/>
  <c r="R63" i="49"/>
  <c r="F63" i="49"/>
  <c r="Q63" i="49"/>
  <c r="AG63" i="49"/>
  <c r="AT63" i="49"/>
  <c r="E66" i="49"/>
  <c r="R66" i="49"/>
  <c r="AG66" i="49"/>
  <c r="AT66" i="49"/>
  <c r="P53" i="49"/>
  <c r="AD53" i="49"/>
  <c r="P65" i="49"/>
  <c r="AD65" i="49"/>
  <c r="M42" i="51"/>
  <c r="AF42" i="51"/>
  <c r="U44" i="51"/>
  <c r="AK45" i="51"/>
  <c r="W45" i="51"/>
  <c r="K45" i="51"/>
  <c r="AT45" i="51"/>
  <c r="AH45" i="51"/>
  <c r="T45" i="51"/>
  <c r="H45" i="51"/>
  <c r="AR45" i="51"/>
  <c r="AD45" i="51"/>
  <c r="N45" i="51"/>
  <c r="AQ45" i="51"/>
  <c r="AA45" i="51"/>
  <c r="M45" i="51"/>
  <c r="AP45" i="51"/>
  <c r="Z45" i="51"/>
  <c r="L45" i="51"/>
  <c r="AO45" i="51"/>
  <c r="Y45" i="51"/>
  <c r="J45" i="51"/>
  <c r="AU45" i="51"/>
  <c r="AF45" i="51"/>
  <c r="P45" i="51"/>
  <c r="AE45" i="51"/>
  <c r="S50" i="51"/>
  <c r="U53" i="51"/>
  <c r="U55" i="51"/>
  <c r="V57" i="51"/>
  <c r="N42" i="51"/>
  <c r="AK42" i="51"/>
  <c r="V44" i="51"/>
  <c r="E45" i="51"/>
  <c r="AG45" i="51"/>
  <c r="R48" i="51"/>
  <c r="AQ51" i="51"/>
  <c r="AE51" i="51"/>
  <c r="Q51" i="51"/>
  <c r="E51" i="51"/>
  <c r="AN51" i="51"/>
  <c r="Z51" i="51"/>
  <c r="N51" i="51"/>
  <c r="AR51" i="51"/>
  <c r="AA51" i="51"/>
  <c r="L51" i="51"/>
  <c r="AP51" i="51"/>
  <c r="Y51" i="51"/>
  <c r="K51" i="51"/>
  <c r="AO51" i="51"/>
  <c r="X51" i="51"/>
  <c r="J51" i="51"/>
  <c r="V51" i="51"/>
  <c r="AM51" i="51"/>
  <c r="W51" i="51"/>
  <c r="I51" i="51"/>
  <c r="AT51" i="51"/>
  <c r="AF51" i="51"/>
  <c r="O51" i="51"/>
  <c r="AH51" i="51"/>
  <c r="P52" i="51"/>
  <c r="AR52" i="51"/>
  <c r="AE53" i="51"/>
  <c r="AE55" i="51"/>
  <c r="N56" i="51"/>
  <c r="AT56" i="51"/>
  <c r="AE57" i="51"/>
  <c r="AL50" i="51"/>
  <c r="X50" i="51"/>
  <c r="L50" i="51"/>
  <c r="AU50" i="51"/>
  <c r="AI50" i="51"/>
  <c r="U50" i="51"/>
  <c r="I50" i="51"/>
  <c r="AQ50" i="51"/>
  <c r="AA50" i="51"/>
  <c r="M50" i="51"/>
  <c r="AP50" i="51"/>
  <c r="Z50" i="51"/>
  <c r="K50" i="51"/>
  <c r="AO50" i="51"/>
  <c r="Y50" i="51"/>
  <c r="J50" i="51"/>
  <c r="AN50" i="51"/>
  <c r="W50" i="51"/>
  <c r="H50" i="51"/>
  <c r="AS50" i="51"/>
  <c r="AE50" i="51"/>
  <c r="O50" i="51"/>
  <c r="AF50" i="51"/>
  <c r="E55" i="51"/>
  <c r="E57" i="51"/>
  <c r="AJ57" i="51"/>
  <c r="R42" i="51"/>
  <c r="AP42" i="51"/>
  <c r="G44" i="51"/>
  <c r="AI44" i="51"/>
  <c r="O45" i="51"/>
  <c r="AM45" i="51"/>
  <c r="E50" i="51"/>
  <c r="AG50" i="51"/>
  <c r="F53" i="51"/>
  <c r="AJ53" i="51"/>
  <c r="AL57" i="51"/>
  <c r="W42" i="51"/>
  <c r="AR42" i="51"/>
  <c r="H44" i="51"/>
  <c r="AJ44" i="51"/>
  <c r="Q45" i="51"/>
  <c r="AN45" i="51"/>
  <c r="AN48" i="51"/>
  <c r="Z48" i="51"/>
  <c r="N48" i="51"/>
  <c r="AK48" i="51"/>
  <c r="W48" i="51"/>
  <c r="K48" i="51"/>
  <c r="AR48" i="51"/>
  <c r="AD48" i="51"/>
  <c r="M48" i="51"/>
  <c r="AQ48" i="51"/>
  <c r="AA48" i="51"/>
  <c r="L48" i="51"/>
  <c r="AP48" i="51"/>
  <c r="Y48" i="51"/>
  <c r="J48" i="51"/>
  <c r="AO48" i="51"/>
  <c r="X48" i="51"/>
  <c r="I48" i="51"/>
  <c r="AT48" i="51"/>
  <c r="AF48" i="51"/>
  <c r="P48" i="51"/>
  <c r="AE48" i="51"/>
  <c r="F50" i="51"/>
  <c r="AH50" i="51"/>
  <c r="P51" i="51"/>
  <c r="AS51" i="51"/>
  <c r="W52" i="51"/>
  <c r="G53" i="51"/>
  <c r="AK53" i="51"/>
  <c r="G55" i="51"/>
  <c r="AL55" i="51"/>
  <c r="V56" i="51"/>
  <c r="G57" i="51"/>
  <c r="AM57" i="51"/>
  <c r="AH44" i="51"/>
  <c r="E53" i="51"/>
  <c r="AI53" i="51"/>
  <c r="AI55" i="51"/>
  <c r="F55" i="51"/>
  <c r="AK55" i="51"/>
  <c r="F57" i="51"/>
  <c r="Y42" i="51"/>
  <c r="I44" i="51"/>
  <c r="R45" i="51"/>
  <c r="AS45" i="51"/>
  <c r="E48" i="51"/>
  <c r="AG48" i="51"/>
  <c r="G50" i="51"/>
  <c r="AJ50" i="51"/>
  <c r="R51" i="51"/>
  <c r="AU51" i="51"/>
  <c r="N53" i="51"/>
  <c r="O55" i="51"/>
  <c r="O57" i="51"/>
  <c r="AR44" i="51"/>
  <c r="AF44" i="51"/>
  <c r="R44" i="51"/>
  <c r="AO44" i="51"/>
  <c r="AA44" i="51"/>
  <c r="O44" i="51"/>
  <c r="AS44" i="51"/>
  <c r="AD44" i="51"/>
  <c r="M44" i="51"/>
  <c r="AQ44" i="51"/>
  <c r="Z44" i="51"/>
  <c r="L44" i="51"/>
  <c r="AP44" i="51"/>
  <c r="Y44" i="51"/>
  <c r="K44" i="51"/>
  <c r="AN44" i="51"/>
  <c r="X44" i="51"/>
  <c r="J44" i="51"/>
  <c r="AU44" i="51"/>
  <c r="AG44" i="51"/>
  <c r="P44" i="51"/>
  <c r="W44" i="51"/>
  <c r="E44" i="51"/>
  <c r="AE44" i="51"/>
  <c r="AO53" i="51"/>
  <c r="AA53" i="51"/>
  <c r="O53" i="51"/>
  <c r="AL53" i="51"/>
  <c r="X53" i="51"/>
  <c r="L53" i="51"/>
  <c r="AR53" i="51"/>
  <c r="AD53" i="51"/>
  <c r="M53" i="51"/>
  <c r="AQ53" i="51"/>
  <c r="Z53" i="51"/>
  <c r="K53" i="51"/>
  <c r="AP53" i="51"/>
  <c r="Y53" i="51"/>
  <c r="J53" i="51"/>
  <c r="AM53" i="51"/>
  <c r="V53" i="51"/>
  <c r="H53" i="51"/>
  <c r="AN53" i="51"/>
  <c r="W53" i="51"/>
  <c r="I53" i="51"/>
  <c r="AT53" i="51"/>
  <c r="AF53" i="51"/>
  <c r="P53" i="51"/>
  <c r="AH53" i="51"/>
  <c r="AM55" i="51"/>
  <c r="Y55" i="51"/>
  <c r="M55" i="51"/>
  <c r="AJ55" i="51"/>
  <c r="V55" i="51"/>
  <c r="J55" i="51"/>
  <c r="AR55" i="51"/>
  <c r="AD55" i="51"/>
  <c r="N55" i="51"/>
  <c r="AQ55" i="51"/>
  <c r="AA55" i="51"/>
  <c r="L55" i="51"/>
  <c r="AP55" i="51"/>
  <c r="Z55" i="51"/>
  <c r="K55" i="51"/>
  <c r="AN55" i="51"/>
  <c r="W55" i="51"/>
  <c r="H55" i="51"/>
  <c r="AO55" i="51"/>
  <c r="X55" i="51"/>
  <c r="I55" i="51"/>
  <c r="AT55" i="51"/>
  <c r="AF55" i="51"/>
  <c r="P55" i="51"/>
  <c r="AH55" i="51"/>
  <c r="AK57" i="51"/>
  <c r="W57" i="51"/>
  <c r="K57" i="51"/>
  <c r="AT57" i="51"/>
  <c r="AH57" i="51"/>
  <c r="T57" i="51"/>
  <c r="H57" i="51"/>
  <c r="AR57" i="51"/>
  <c r="AD57" i="51"/>
  <c r="N57" i="51"/>
  <c r="AQ57" i="51"/>
  <c r="AA57" i="51"/>
  <c r="M57" i="51"/>
  <c r="AP57" i="51"/>
  <c r="Z57" i="51"/>
  <c r="L57" i="51"/>
  <c r="AN57" i="51"/>
  <c r="X57" i="51"/>
  <c r="I57" i="51"/>
  <c r="AO57" i="51"/>
  <c r="Y57" i="51"/>
  <c r="J57" i="51"/>
  <c r="AU57" i="51"/>
  <c r="AF57" i="51"/>
  <c r="P57" i="51"/>
  <c r="AI57" i="51"/>
  <c r="F44" i="51"/>
  <c r="AQ42" i="51"/>
  <c r="AJ42" i="51"/>
  <c r="V42" i="51"/>
  <c r="J42" i="51"/>
  <c r="AI42" i="51"/>
  <c r="U42" i="51"/>
  <c r="I42" i="51"/>
  <c r="AU42" i="51"/>
  <c r="AH42" i="51"/>
  <c r="T42" i="51"/>
  <c r="H42" i="51"/>
  <c r="AT42" i="51"/>
  <c r="AG42" i="51"/>
  <c r="S42" i="51"/>
  <c r="G42" i="51"/>
  <c r="AL42" i="51"/>
  <c r="X42" i="51"/>
  <c r="L42" i="51"/>
  <c r="Z42" i="51"/>
  <c r="N44" i="51"/>
  <c r="AL44" i="51"/>
  <c r="N50" i="51"/>
  <c r="AK50" i="51"/>
  <c r="Q53" i="51"/>
  <c r="AU53" i="51"/>
  <c r="Q55" i="51"/>
  <c r="AU55" i="51"/>
  <c r="Q57" i="51"/>
  <c r="E42" i="51"/>
  <c r="AA42" i="51"/>
  <c r="Q44" i="51"/>
  <c r="AM44" i="51"/>
  <c r="U45" i="51"/>
  <c r="P50" i="51"/>
  <c r="AM50" i="51"/>
  <c r="AJ52" i="51"/>
  <c r="V52" i="51"/>
  <c r="J52" i="51"/>
  <c r="AS52" i="51"/>
  <c r="AG52" i="51"/>
  <c r="S52" i="51"/>
  <c r="G52" i="51"/>
  <c r="AQ52" i="51"/>
  <c r="AA52" i="51"/>
  <c r="M52" i="51"/>
  <c r="AP52" i="51"/>
  <c r="Z52" i="51"/>
  <c r="L52" i="51"/>
  <c r="AO52" i="51"/>
  <c r="Y52" i="51"/>
  <c r="K52" i="51"/>
  <c r="AM52" i="51"/>
  <c r="H52" i="51"/>
  <c r="AN52" i="51"/>
  <c r="X52" i="51"/>
  <c r="I52" i="51"/>
  <c r="AT52" i="51"/>
  <c r="AE52" i="51"/>
  <c r="O52" i="51"/>
  <c r="AH52" i="51"/>
  <c r="R53" i="51"/>
  <c r="R55" i="51"/>
  <c r="AR56" i="51"/>
  <c r="AF56" i="51"/>
  <c r="R56" i="51"/>
  <c r="F56" i="51"/>
  <c r="AO56" i="51"/>
  <c r="AA56" i="51"/>
  <c r="O56" i="51"/>
  <c r="AS56" i="51"/>
  <c r="AD56" i="51"/>
  <c r="M56" i="51"/>
  <c r="AQ56" i="51"/>
  <c r="Z56" i="51"/>
  <c r="L56" i="51"/>
  <c r="AP56" i="51"/>
  <c r="Y56" i="51"/>
  <c r="K56" i="51"/>
  <c r="AM56" i="51"/>
  <c r="W56" i="51"/>
  <c r="I56" i="51"/>
  <c r="AN56" i="51"/>
  <c r="X56" i="51"/>
  <c r="J56" i="51"/>
  <c r="AU56" i="51"/>
  <c r="AG56" i="51"/>
  <c r="P56" i="51"/>
  <c r="AI56" i="51"/>
  <c r="R57" i="51"/>
  <c r="F42" i="51"/>
  <c r="AD42" i="51"/>
  <c r="S44" i="51"/>
  <c r="AT44" i="51"/>
  <c r="V45" i="51"/>
  <c r="AU47" i="51"/>
  <c r="AI47" i="51"/>
  <c r="U47" i="51"/>
  <c r="I47" i="51"/>
  <c r="AR47" i="51"/>
  <c r="AF47" i="51"/>
  <c r="R47" i="51"/>
  <c r="F47" i="51"/>
  <c r="AQ47" i="51"/>
  <c r="AA47" i="51"/>
  <c r="M47" i="51"/>
  <c r="AP47" i="51"/>
  <c r="Z47" i="51"/>
  <c r="L47" i="51"/>
  <c r="AO47" i="51"/>
  <c r="Y47" i="51"/>
  <c r="K47" i="51"/>
  <c r="AN47" i="51"/>
  <c r="X47" i="51"/>
  <c r="J47" i="51"/>
  <c r="AT47" i="51"/>
  <c r="AE47" i="51"/>
  <c r="O47" i="51"/>
  <c r="AG47" i="51"/>
  <c r="H48" i="51"/>
  <c r="AJ48" i="51"/>
  <c r="Q50" i="51"/>
  <c r="AR50" i="51"/>
  <c r="U51" i="51"/>
  <c r="E52" i="51"/>
  <c r="AI52" i="51"/>
  <c r="S53" i="51"/>
  <c r="AT54" i="51"/>
  <c r="AH54" i="51"/>
  <c r="T54" i="51"/>
  <c r="H54" i="51"/>
  <c r="AQ54" i="51"/>
  <c r="AE54" i="51"/>
  <c r="Q54" i="51"/>
  <c r="E54" i="51"/>
  <c r="AR54" i="51"/>
  <c r="AA54" i="51"/>
  <c r="M54" i="51"/>
  <c r="AP54" i="51"/>
  <c r="Z54" i="51"/>
  <c r="L54" i="51"/>
  <c r="AO54" i="51"/>
  <c r="Y54" i="51"/>
  <c r="K54" i="51"/>
  <c r="AM54" i="51"/>
  <c r="W54" i="51"/>
  <c r="I54" i="51"/>
  <c r="AN54" i="51"/>
  <c r="X54" i="51"/>
  <c r="J54" i="51"/>
  <c r="AU54" i="51"/>
  <c r="AF54" i="51"/>
  <c r="O54" i="51"/>
  <c r="AJ54" i="51"/>
  <c r="S55" i="51"/>
  <c r="E56" i="51"/>
  <c r="AJ56" i="51"/>
  <c r="S57" i="51"/>
  <c r="AJ59" i="51"/>
  <c r="AU59" i="51"/>
  <c r="AI59" i="51"/>
  <c r="U59" i="51"/>
  <c r="I59" i="51"/>
  <c r="AR59" i="51"/>
  <c r="AF59" i="51"/>
  <c r="R59" i="51"/>
  <c r="F59" i="51"/>
  <c r="AS59" i="51"/>
  <c r="AA59" i="51"/>
  <c r="M59" i="51"/>
  <c r="AQ59" i="51"/>
  <c r="Z59" i="51"/>
  <c r="L59" i="51"/>
  <c r="AP59" i="51"/>
  <c r="Y59" i="51"/>
  <c r="K59" i="51"/>
  <c r="AN59" i="51"/>
  <c r="W59" i="51"/>
  <c r="H59" i="51"/>
  <c r="AO59" i="51"/>
  <c r="X59" i="51"/>
  <c r="J59" i="51"/>
  <c r="AE59" i="51"/>
  <c r="O59" i="51"/>
  <c r="AK59" i="51"/>
  <c r="K42" i="51"/>
  <c r="AE42" i="51"/>
  <c r="T44" i="51"/>
  <c r="X45" i="51"/>
  <c r="O48" i="51"/>
  <c r="AL48" i="51"/>
  <c r="R50" i="51"/>
  <c r="AT50" i="51"/>
  <c r="AD51" i="51"/>
  <c r="F52" i="51"/>
  <c r="AK52" i="51"/>
  <c r="T53" i="51"/>
  <c r="T55" i="51"/>
  <c r="G56" i="51"/>
  <c r="AK56" i="51"/>
  <c r="U57" i="51"/>
  <c r="AK64" i="51"/>
  <c r="W64" i="51"/>
  <c r="K64" i="51"/>
  <c r="AJ64" i="51"/>
  <c r="V64" i="51"/>
  <c r="J64" i="51"/>
  <c r="AS64" i="51"/>
  <c r="AG64" i="51"/>
  <c r="S64" i="51"/>
  <c r="G64" i="51"/>
  <c r="AU64" i="51"/>
  <c r="AE64" i="51"/>
  <c r="N64" i="51"/>
  <c r="AT64" i="51"/>
  <c r="AD64" i="51"/>
  <c r="M64" i="51"/>
  <c r="AR64" i="51"/>
  <c r="AA64" i="51"/>
  <c r="L64" i="51"/>
  <c r="AP64" i="51"/>
  <c r="Y64" i="51"/>
  <c r="H64" i="51"/>
  <c r="AQ64" i="51"/>
  <c r="Z64" i="51"/>
  <c r="I64" i="51"/>
  <c r="AH64" i="51"/>
  <c r="P64" i="51"/>
  <c r="AM64" i="51"/>
  <c r="AO60" i="51"/>
  <c r="AA60" i="51"/>
  <c r="O60" i="51"/>
  <c r="AN60" i="51"/>
  <c r="Z60" i="51"/>
  <c r="N60" i="51"/>
  <c r="AK60" i="51"/>
  <c r="W60" i="51"/>
  <c r="K60" i="51"/>
  <c r="S60" i="51"/>
  <c r="AJ60" i="51"/>
  <c r="L60" i="51"/>
  <c r="AE60" i="51"/>
  <c r="AT60" i="51"/>
  <c r="AR63" i="51"/>
  <c r="AF63" i="51"/>
  <c r="R63" i="51"/>
  <c r="F63" i="51"/>
  <c r="AQ63" i="51"/>
  <c r="AE63" i="51"/>
  <c r="Q63" i="51"/>
  <c r="E63" i="51"/>
  <c r="AN63" i="51"/>
  <c r="Z63" i="51"/>
  <c r="N63" i="51"/>
  <c r="U63" i="51"/>
  <c r="AL63" i="51"/>
  <c r="C41" i="51"/>
  <c r="O41" i="51"/>
  <c r="AA41" i="51"/>
  <c r="AO41" i="51"/>
  <c r="O43" i="51"/>
  <c r="AD43" i="51"/>
  <c r="AQ43" i="51"/>
  <c r="M60" i="51"/>
  <c r="AF60" i="51"/>
  <c r="AU60" i="51"/>
  <c r="Q62" i="51"/>
  <c r="AH62" i="51"/>
  <c r="G63" i="51"/>
  <c r="V63" i="51"/>
  <c r="AM63" i="51"/>
  <c r="P41" i="51"/>
  <c r="AD41" i="51"/>
  <c r="P43" i="51"/>
  <c r="AE43" i="51"/>
  <c r="P60" i="51"/>
  <c r="AG60" i="51"/>
  <c r="R62" i="51"/>
  <c r="H63" i="51"/>
  <c r="W63" i="51"/>
  <c r="AO63" i="51"/>
  <c r="AU66" i="51"/>
  <c r="AI66" i="51"/>
  <c r="U66" i="51"/>
  <c r="I66" i="51"/>
  <c r="AT66" i="51"/>
  <c r="AH66" i="51"/>
  <c r="T66" i="51"/>
  <c r="H66" i="51"/>
  <c r="AS66" i="51"/>
  <c r="AG66" i="51"/>
  <c r="S66" i="51"/>
  <c r="G66" i="51"/>
  <c r="AQ66" i="51"/>
  <c r="AE66" i="51"/>
  <c r="Q66" i="51"/>
  <c r="E66" i="51"/>
  <c r="X66" i="51"/>
  <c r="AP66" i="51"/>
  <c r="AJ43" i="51"/>
  <c r="V43" i="51"/>
  <c r="J43" i="51"/>
  <c r="Q43" i="51"/>
  <c r="AF43" i="51"/>
  <c r="AS43" i="51"/>
  <c r="Q60" i="51"/>
  <c r="AH60" i="51"/>
  <c r="AM62" i="51"/>
  <c r="Y62" i="51"/>
  <c r="M62" i="51"/>
  <c r="AL62" i="51"/>
  <c r="X62" i="51"/>
  <c r="L62" i="51"/>
  <c r="AU62" i="51"/>
  <c r="AI62" i="51"/>
  <c r="U62" i="51"/>
  <c r="I62" i="51"/>
  <c r="S62" i="51"/>
  <c r="AK62" i="51"/>
  <c r="I63" i="51"/>
  <c r="X63" i="51"/>
  <c r="AP63" i="51"/>
  <c r="M46" i="51"/>
  <c r="Y46" i="51"/>
  <c r="AM46" i="51"/>
  <c r="P49" i="51"/>
  <c r="AD49" i="51"/>
  <c r="AP49" i="51"/>
  <c r="M58" i="51"/>
  <c r="Y58" i="51"/>
  <c r="AM58" i="51"/>
  <c r="P61" i="51"/>
  <c r="AD61" i="51"/>
  <c r="AP61" i="51"/>
  <c r="L65" i="51"/>
  <c r="X65" i="51"/>
  <c r="AL65" i="51"/>
  <c r="P46" i="51"/>
  <c r="AD46" i="51"/>
  <c r="G49" i="51"/>
  <c r="S49" i="51"/>
  <c r="AG49" i="51"/>
  <c r="P58" i="51"/>
  <c r="AD58" i="51"/>
  <c r="G61" i="51"/>
  <c r="S61" i="51"/>
  <c r="AG61" i="51"/>
  <c r="O65" i="51"/>
  <c r="AA65" i="51"/>
  <c r="AO65" i="51"/>
  <c r="P65" i="51"/>
  <c r="AD65" i="51"/>
  <c r="E53" i="52"/>
  <c r="K41" i="52"/>
  <c r="W41" i="52"/>
  <c r="AK41" i="52"/>
  <c r="P42" i="52"/>
  <c r="AD42" i="52"/>
  <c r="AP42" i="52"/>
  <c r="K43" i="52"/>
  <c r="X43" i="52"/>
  <c r="AM43" i="52"/>
  <c r="L46" i="52"/>
  <c r="Z46" i="52"/>
  <c r="AO46" i="52"/>
  <c r="O52" i="52"/>
  <c r="AD52" i="52"/>
  <c r="AQ52" i="52"/>
  <c r="K53" i="52"/>
  <c r="Y53" i="52"/>
  <c r="AN53" i="52"/>
  <c r="AJ55" i="52"/>
  <c r="V55" i="52"/>
  <c r="J55" i="52"/>
  <c r="Q55" i="52"/>
  <c r="AF55" i="52"/>
  <c r="AS55" i="52"/>
  <c r="M56" i="52"/>
  <c r="Z56" i="52"/>
  <c r="AP56" i="52"/>
  <c r="O59" i="52"/>
  <c r="AD59" i="52"/>
  <c r="AQ59" i="52"/>
  <c r="L60" i="52"/>
  <c r="Y60" i="52"/>
  <c r="AN60" i="52"/>
  <c r="AN63" i="52"/>
  <c r="Z63" i="52"/>
  <c r="N63" i="52"/>
  <c r="AM63" i="52"/>
  <c r="Y63" i="52"/>
  <c r="M63" i="52"/>
  <c r="R63" i="52"/>
  <c r="AH63" i="52"/>
  <c r="AL65" i="52"/>
  <c r="X65" i="52"/>
  <c r="L65" i="52"/>
  <c r="AK65" i="52"/>
  <c r="W65" i="52"/>
  <c r="K65" i="52"/>
  <c r="R65" i="52"/>
  <c r="AH65" i="52"/>
  <c r="Q43" i="52"/>
  <c r="S46" i="52"/>
  <c r="AG53" i="52"/>
  <c r="L41" i="52"/>
  <c r="X41" i="52"/>
  <c r="AL41" i="52"/>
  <c r="E42" i="52"/>
  <c r="Q42" i="52"/>
  <c r="AE42" i="52"/>
  <c r="AR42" i="52"/>
  <c r="L43" i="52"/>
  <c r="Y43" i="52"/>
  <c r="AN43" i="52"/>
  <c r="AT45" i="52"/>
  <c r="AH45" i="52"/>
  <c r="T45" i="52"/>
  <c r="H45" i="52"/>
  <c r="Q45" i="52"/>
  <c r="AF45" i="52"/>
  <c r="AS45" i="52"/>
  <c r="N46" i="52"/>
  <c r="AA46" i="52"/>
  <c r="P52" i="52"/>
  <c r="AE52" i="52"/>
  <c r="M53" i="52"/>
  <c r="Z53" i="52"/>
  <c r="E55" i="52"/>
  <c r="R55" i="52"/>
  <c r="AG55" i="52"/>
  <c r="AT55" i="52"/>
  <c r="N56" i="52"/>
  <c r="AD56" i="52"/>
  <c r="P59" i="52"/>
  <c r="AE59" i="52"/>
  <c r="M60" i="52"/>
  <c r="Z60" i="52"/>
  <c r="AU62" i="52"/>
  <c r="AI62" i="52"/>
  <c r="U62" i="52"/>
  <c r="I62" i="52"/>
  <c r="AT62" i="52"/>
  <c r="AH62" i="52"/>
  <c r="T62" i="52"/>
  <c r="H62" i="52"/>
  <c r="R62" i="52"/>
  <c r="AJ62" i="52"/>
  <c r="E63" i="52"/>
  <c r="S63" i="52"/>
  <c r="AI63" i="52"/>
  <c r="AS64" i="52"/>
  <c r="AG64" i="52"/>
  <c r="S64" i="52"/>
  <c r="G64" i="52"/>
  <c r="AR64" i="52"/>
  <c r="AF64" i="52"/>
  <c r="R64" i="52"/>
  <c r="F64" i="52"/>
  <c r="T64" i="52"/>
  <c r="AJ64" i="52"/>
  <c r="E65" i="52"/>
  <c r="S65" i="52"/>
  <c r="AI65" i="52"/>
  <c r="AS52" i="52"/>
  <c r="AG52" i="52"/>
  <c r="S52" i="52"/>
  <c r="G52" i="52"/>
  <c r="Q52" i="52"/>
  <c r="AF52" i="52"/>
  <c r="AT52" i="52"/>
  <c r="AR59" i="52"/>
  <c r="AF59" i="52"/>
  <c r="R59" i="52"/>
  <c r="F59" i="52"/>
  <c r="Q59" i="52"/>
  <c r="AG59" i="52"/>
  <c r="AT59" i="52"/>
  <c r="E52" i="52"/>
  <c r="R52" i="52"/>
  <c r="AH52" i="52"/>
  <c r="AU52" i="52"/>
  <c r="AO56" i="52"/>
  <c r="AA56" i="52"/>
  <c r="O56" i="52"/>
  <c r="Q56" i="52"/>
  <c r="AF56" i="52"/>
  <c r="AS56" i="52"/>
  <c r="E59" i="52"/>
  <c r="S59" i="52"/>
  <c r="AH59" i="52"/>
  <c r="AU59" i="52"/>
  <c r="AM46" i="52"/>
  <c r="Y46" i="52"/>
  <c r="M46" i="52"/>
  <c r="Q46" i="52"/>
  <c r="AF46" i="52"/>
  <c r="AS46" i="52"/>
  <c r="F52" i="52"/>
  <c r="T52" i="52"/>
  <c r="AI52" i="52"/>
  <c r="E56" i="52"/>
  <c r="R56" i="52"/>
  <c r="AG56" i="52"/>
  <c r="AT56" i="52"/>
  <c r="G59" i="52"/>
  <c r="T59" i="52"/>
  <c r="AI59" i="52"/>
  <c r="P41" i="52"/>
  <c r="AD41" i="52"/>
  <c r="AP41" i="52"/>
  <c r="E46" i="52"/>
  <c r="R46" i="52"/>
  <c r="AG46" i="52"/>
  <c r="AT46" i="52"/>
  <c r="H52" i="52"/>
  <c r="U52" i="52"/>
  <c r="AJ52" i="52"/>
  <c r="AL53" i="52"/>
  <c r="X53" i="52"/>
  <c r="L53" i="52"/>
  <c r="Q53" i="52"/>
  <c r="AF53" i="52"/>
  <c r="AS53" i="52"/>
  <c r="F56" i="52"/>
  <c r="S56" i="52"/>
  <c r="AH56" i="52"/>
  <c r="AU56" i="52"/>
  <c r="H59" i="52"/>
  <c r="U59" i="52"/>
  <c r="AJ59" i="52"/>
  <c r="AK60" i="52"/>
  <c r="W60" i="52"/>
  <c r="K60" i="52"/>
  <c r="Q60" i="52"/>
  <c r="AF60" i="52"/>
  <c r="AS60" i="52"/>
  <c r="E41" i="52"/>
  <c r="Q41" i="52"/>
  <c r="AQ41" i="52"/>
  <c r="AF43" i="52"/>
  <c r="F46" i="52"/>
  <c r="AH46" i="52"/>
  <c r="AU46" i="52"/>
  <c r="I52" i="52"/>
  <c r="R53" i="52"/>
  <c r="AT53" i="52"/>
  <c r="G56" i="52"/>
  <c r="T56" i="52"/>
  <c r="AI56" i="52"/>
  <c r="I59" i="52"/>
  <c r="V59" i="52"/>
  <c r="AK59" i="52"/>
  <c r="E60" i="52"/>
  <c r="R60" i="52"/>
  <c r="AG60" i="52"/>
  <c r="AT60" i="52"/>
  <c r="F41" i="52"/>
  <c r="R41" i="52"/>
  <c r="AF41" i="52"/>
  <c r="AR41" i="52"/>
  <c r="K42" i="52"/>
  <c r="W42" i="52"/>
  <c r="AK42" i="52"/>
  <c r="E43" i="52"/>
  <c r="R43" i="52"/>
  <c r="AG43" i="52"/>
  <c r="AT43" i="52"/>
  <c r="N44" i="52"/>
  <c r="AD44" i="52"/>
  <c r="AQ44" i="52"/>
  <c r="K45" i="52"/>
  <c r="X45" i="52"/>
  <c r="AM45" i="52"/>
  <c r="G46" i="52"/>
  <c r="T46" i="52"/>
  <c r="AI46" i="52"/>
  <c r="P47" i="52"/>
  <c r="AE47" i="52"/>
  <c r="M48" i="52"/>
  <c r="Z48" i="52"/>
  <c r="AO48" i="52"/>
  <c r="AU50" i="52"/>
  <c r="AI50" i="52"/>
  <c r="U50" i="52"/>
  <c r="I50" i="52"/>
  <c r="Q50" i="52"/>
  <c r="AF50" i="52"/>
  <c r="AS50" i="52"/>
  <c r="M51" i="52"/>
  <c r="AA51" i="52"/>
  <c r="AP51" i="52"/>
  <c r="J52" i="52"/>
  <c r="W52" i="52"/>
  <c r="AL52" i="52"/>
  <c r="F53" i="52"/>
  <c r="S53" i="52"/>
  <c r="AH53" i="52"/>
  <c r="AU53" i="52"/>
  <c r="O54" i="52"/>
  <c r="AD54" i="52"/>
  <c r="AR54" i="52"/>
  <c r="L55" i="52"/>
  <c r="Y55" i="52"/>
  <c r="AN55" i="52"/>
  <c r="H56" i="52"/>
  <c r="U56" i="52"/>
  <c r="AJ56" i="52"/>
  <c r="AT57" i="52"/>
  <c r="AH57" i="52"/>
  <c r="T57" i="52"/>
  <c r="H57" i="52"/>
  <c r="Q57" i="52"/>
  <c r="AF57" i="52"/>
  <c r="AS57" i="52"/>
  <c r="N58" i="52"/>
  <c r="AA58" i="52"/>
  <c r="AP58" i="52"/>
  <c r="J59" i="52"/>
  <c r="W59" i="52"/>
  <c r="AL59" i="52"/>
  <c r="F60" i="52"/>
  <c r="S60" i="52"/>
  <c r="AH60" i="52"/>
  <c r="AU60" i="52"/>
  <c r="L62" i="52"/>
  <c r="Z62" i="52"/>
  <c r="AP62" i="52"/>
  <c r="K63" i="52"/>
  <c r="AA63" i="52"/>
  <c r="AQ63" i="52"/>
  <c r="L64" i="52"/>
  <c r="Z64" i="52"/>
  <c r="AP64" i="52"/>
  <c r="M65" i="52"/>
  <c r="AA65" i="52"/>
  <c r="AQ65" i="52"/>
  <c r="G41" i="52"/>
  <c r="S41" i="52"/>
  <c r="AG41" i="52"/>
  <c r="AS41" i="52"/>
  <c r="L42" i="52"/>
  <c r="X42" i="52"/>
  <c r="AL42" i="52"/>
  <c r="F43" i="52"/>
  <c r="S43" i="52"/>
  <c r="AH43" i="52"/>
  <c r="AU43" i="52"/>
  <c r="P44" i="52"/>
  <c r="AE44" i="52"/>
  <c r="L45" i="52"/>
  <c r="Y45" i="52"/>
  <c r="AN45" i="52"/>
  <c r="H46" i="52"/>
  <c r="U46" i="52"/>
  <c r="AJ46" i="52"/>
  <c r="AR47" i="52"/>
  <c r="AF47" i="52"/>
  <c r="R47" i="52"/>
  <c r="F47" i="52"/>
  <c r="Q47" i="52"/>
  <c r="AG47" i="52"/>
  <c r="AT47" i="52"/>
  <c r="N48" i="52"/>
  <c r="AA48" i="52"/>
  <c r="AP48" i="52"/>
  <c r="O51" i="52"/>
  <c r="AD51" i="52"/>
  <c r="K52" i="52"/>
  <c r="X52" i="52"/>
  <c r="AM52" i="52"/>
  <c r="G53" i="52"/>
  <c r="T53" i="52"/>
  <c r="AI53" i="52"/>
  <c r="P54" i="52"/>
  <c r="AF54" i="52"/>
  <c r="M55" i="52"/>
  <c r="Z55" i="52"/>
  <c r="AO55" i="52"/>
  <c r="I56" i="52"/>
  <c r="V56" i="52"/>
  <c r="AK56" i="52"/>
  <c r="O58" i="52"/>
  <c r="AD58" i="52"/>
  <c r="K59" i="52"/>
  <c r="X59" i="52"/>
  <c r="AM59" i="52"/>
  <c r="G60" i="52"/>
  <c r="T60" i="52"/>
  <c r="AI60" i="52"/>
  <c r="M62" i="52"/>
  <c r="AA62" i="52"/>
  <c r="AQ62" i="52"/>
  <c r="L63" i="52"/>
  <c r="AD63" i="52"/>
  <c r="AR63" i="52"/>
  <c r="M64" i="52"/>
  <c r="AA64" i="52"/>
  <c r="AQ64" i="52"/>
  <c r="N65" i="52"/>
  <c r="AD65" i="52"/>
  <c r="AR65" i="52"/>
  <c r="AE41" i="52"/>
  <c r="H41" i="52"/>
  <c r="T41" i="52"/>
  <c r="AH41" i="52"/>
  <c r="AT41" i="52"/>
  <c r="M42" i="52"/>
  <c r="Y42" i="52"/>
  <c r="AM42" i="52"/>
  <c r="G43" i="52"/>
  <c r="T43" i="52"/>
  <c r="AI43" i="52"/>
  <c r="AO44" i="52"/>
  <c r="AA44" i="52"/>
  <c r="O44" i="52"/>
  <c r="Q44" i="52"/>
  <c r="AF44" i="52"/>
  <c r="AS44" i="52"/>
  <c r="M45" i="52"/>
  <c r="Z45" i="52"/>
  <c r="AO45" i="52"/>
  <c r="I46" i="52"/>
  <c r="V46" i="52"/>
  <c r="AK46" i="52"/>
  <c r="O48" i="52"/>
  <c r="AD48" i="52"/>
  <c r="AQ48" i="52"/>
  <c r="L52" i="52"/>
  <c r="Y52" i="52"/>
  <c r="AN52" i="52"/>
  <c r="H53" i="52"/>
  <c r="U53" i="52"/>
  <c r="AJ53" i="52"/>
  <c r="AQ54" i="52"/>
  <c r="AE54" i="52"/>
  <c r="Q54" i="52"/>
  <c r="E54" i="52"/>
  <c r="R54" i="52"/>
  <c r="AG54" i="52"/>
  <c r="AT54" i="52"/>
  <c r="N55" i="52"/>
  <c r="AA55" i="52"/>
  <c r="AP55" i="52"/>
  <c r="J56" i="52"/>
  <c r="W56" i="52"/>
  <c r="AL56" i="52"/>
  <c r="L59" i="52"/>
  <c r="Y59" i="52"/>
  <c r="AN59" i="52"/>
  <c r="H60" i="52"/>
  <c r="U60" i="52"/>
  <c r="AJ60" i="52"/>
  <c r="N62" i="52"/>
  <c r="AD62" i="52"/>
  <c r="AR62" i="52"/>
  <c r="O63" i="52"/>
  <c r="AE63" i="52"/>
  <c r="AS63" i="52"/>
  <c r="N64" i="52"/>
  <c r="AD64" i="52"/>
  <c r="AT64" i="52"/>
  <c r="O65" i="52"/>
  <c r="AE65" i="52"/>
  <c r="AS65" i="52"/>
  <c r="V52" i="52"/>
  <c r="I41" i="52"/>
  <c r="U41" i="52"/>
  <c r="AI41" i="52"/>
  <c r="AU41" i="52"/>
  <c r="N42" i="52"/>
  <c r="Z42" i="52"/>
  <c r="AN42" i="52"/>
  <c r="H43" i="52"/>
  <c r="U43" i="52"/>
  <c r="E44" i="52"/>
  <c r="R44" i="52"/>
  <c r="AG44" i="52"/>
  <c r="AT44" i="52"/>
  <c r="N45" i="52"/>
  <c r="AA45" i="52"/>
  <c r="AP45" i="52"/>
  <c r="J46" i="52"/>
  <c r="W46" i="52"/>
  <c r="AL46" i="52"/>
  <c r="G47" i="52"/>
  <c r="T47" i="52"/>
  <c r="AI47" i="52"/>
  <c r="P48" i="52"/>
  <c r="AE48" i="52"/>
  <c r="AN51" i="52"/>
  <c r="Z51" i="52"/>
  <c r="N51" i="52"/>
  <c r="Q51" i="52"/>
  <c r="AF51" i="52"/>
  <c r="AS51" i="52"/>
  <c r="M52" i="52"/>
  <c r="Z52" i="52"/>
  <c r="AO52" i="52"/>
  <c r="I53" i="52"/>
  <c r="V53" i="52"/>
  <c r="AK53" i="52"/>
  <c r="F54" i="52"/>
  <c r="S54" i="52"/>
  <c r="AH54" i="52"/>
  <c r="AU54" i="52"/>
  <c r="O55" i="52"/>
  <c r="AD55" i="52"/>
  <c r="AQ55" i="52"/>
  <c r="K56" i="52"/>
  <c r="X56" i="52"/>
  <c r="AM56" i="52"/>
  <c r="AM58" i="52"/>
  <c r="Y58" i="52"/>
  <c r="M58" i="52"/>
  <c r="Q58" i="52"/>
  <c r="AF58" i="52"/>
  <c r="AS58" i="52"/>
  <c r="M59" i="52"/>
  <c r="Z59" i="52"/>
  <c r="AO59" i="52"/>
  <c r="I60" i="52"/>
  <c r="V60" i="52"/>
  <c r="AL60" i="52"/>
  <c r="O62" i="52"/>
  <c r="AE62" i="52"/>
  <c r="AS62" i="52"/>
  <c r="P63" i="52"/>
  <c r="AF63" i="52"/>
  <c r="AT63" i="52"/>
  <c r="O64" i="52"/>
  <c r="AE64" i="52"/>
  <c r="AU64" i="52"/>
  <c r="P65" i="52"/>
  <c r="AF65" i="52"/>
  <c r="AT65" i="52"/>
  <c r="AJ43" i="52"/>
  <c r="V43" i="52"/>
  <c r="J43" i="52"/>
  <c r="AS43" i="52"/>
  <c r="AK52" i="52"/>
  <c r="J41" i="52"/>
  <c r="V41" i="52"/>
  <c r="C42" i="52"/>
  <c r="O42" i="52"/>
  <c r="AA42" i="52"/>
  <c r="AO42" i="52"/>
  <c r="I43" i="52"/>
  <c r="W43" i="52"/>
  <c r="AL43" i="52"/>
  <c r="O45" i="52"/>
  <c r="AD45" i="52"/>
  <c r="AQ45" i="52"/>
  <c r="K46" i="52"/>
  <c r="X46" i="52"/>
  <c r="AN46" i="52"/>
  <c r="AK48" i="52"/>
  <c r="W48" i="52"/>
  <c r="K48" i="52"/>
  <c r="Q48" i="52"/>
  <c r="AF48" i="52"/>
  <c r="AS48" i="52"/>
  <c r="N52" i="52"/>
  <c r="AA52" i="52"/>
  <c r="AP52" i="52"/>
  <c r="J53" i="52"/>
  <c r="W53" i="52"/>
  <c r="AM53" i="52"/>
  <c r="P55" i="52"/>
  <c r="AE55" i="52"/>
  <c r="AR55" i="52"/>
  <c r="L56" i="52"/>
  <c r="Y56" i="52"/>
  <c r="AN56" i="52"/>
  <c r="N59" i="52"/>
  <c r="AA59" i="52"/>
  <c r="AP59" i="52"/>
  <c r="J60" i="52"/>
  <c r="X60" i="52"/>
  <c r="AM60" i="52"/>
  <c r="P62" i="52"/>
  <c r="AF62" i="52"/>
  <c r="Q63" i="52"/>
  <c r="AG63" i="52"/>
  <c r="AU63" i="52"/>
  <c r="P64" i="52"/>
  <c r="AH64" i="52"/>
  <c r="Q65" i="52"/>
  <c r="AG65" i="52"/>
  <c r="AU65" i="52"/>
  <c r="P66" i="52"/>
  <c r="AD66" i="52"/>
  <c r="AP66" i="52"/>
  <c r="P49" i="52"/>
  <c r="AD49" i="52"/>
  <c r="P61" i="52"/>
  <c r="AD61" i="52"/>
  <c r="E66" i="52"/>
  <c r="Q66" i="52"/>
  <c r="AE66" i="52"/>
  <c r="AR63" i="53"/>
  <c r="AF63" i="53"/>
  <c r="R63" i="53"/>
  <c r="F63" i="53"/>
  <c r="AQ63" i="53"/>
  <c r="AE63" i="53"/>
  <c r="Q63" i="53"/>
  <c r="E63" i="53"/>
  <c r="AU63" i="53"/>
  <c r="AG63" i="53"/>
  <c r="O63" i="53"/>
  <c r="AS63" i="53"/>
  <c r="AA63" i="53"/>
  <c r="M63" i="53"/>
  <c r="AP63" i="53"/>
  <c r="Z63" i="53"/>
  <c r="L63" i="53"/>
  <c r="AT63" i="53"/>
  <c r="AD63" i="53"/>
  <c r="N63" i="53"/>
  <c r="AO63" i="53"/>
  <c r="U63" i="53"/>
  <c r="AN63" i="53"/>
  <c r="T63" i="53"/>
  <c r="AM63" i="53"/>
  <c r="S63" i="53"/>
  <c r="AL63" i="53"/>
  <c r="P63" i="53"/>
  <c r="AJ63" i="53"/>
  <c r="AJ47" i="53"/>
  <c r="V47" i="53"/>
  <c r="J47" i="53"/>
  <c r="AU47" i="53"/>
  <c r="AI47" i="53"/>
  <c r="U47" i="53"/>
  <c r="I47" i="53"/>
  <c r="AS47" i="53"/>
  <c r="AE47" i="53"/>
  <c r="O47" i="53"/>
  <c r="AQ47" i="53"/>
  <c r="AA47" i="53"/>
  <c r="M47" i="53"/>
  <c r="AR47" i="53"/>
  <c r="AD47" i="53"/>
  <c r="N47" i="53"/>
  <c r="AH47" i="53"/>
  <c r="L47" i="53"/>
  <c r="AG47" i="53"/>
  <c r="K47" i="53"/>
  <c r="AF47" i="53"/>
  <c r="H47" i="53"/>
  <c r="Z47" i="53"/>
  <c r="AR51" i="53"/>
  <c r="AF51" i="53"/>
  <c r="R51" i="53"/>
  <c r="F51" i="53"/>
  <c r="AQ51" i="53"/>
  <c r="AE51" i="53"/>
  <c r="Q51" i="53"/>
  <c r="E51" i="53"/>
  <c r="AU51" i="53"/>
  <c r="AG51" i="53"/>
  <c r="O51" i="53"/>
  <c r="AS51" i="53"/>
  <c r="AA51" i="53"/>
  <c r="M51" i="53"/>
  <c r="AP51" i="53"/>
  <c r="Z51" i="53"/>
  <c r="L51" i="53"/>
  <c r="AT51" i="53"/>
  <c r="AD51" i="53"/>
  <c r="N51" i="53"/>
  <c r="AO51" i="53"/>
  <c r="U51" i="53"/>
  <c r="AN51" i="53"/>
  <c r="T51" i="53"/>
  <c r="AM51" i="53"/>
  <c r="S51" i="53"/>
  <c r="AI51" i="53"/>
  <c r="AU54" i="53"/>
  <c r="AI54" i="53"/>
  <c r="U54" i="53"/>
  <c r="I54" i="53"/>
  <c r="AT54" i="53"/>
  <c r="AH54" i="53"/>
  <c r="T54" i="53"/>
  <c r="H54" i="53"/>
  <c r="AS54" i="53"/>
  <c r="AE54" i="53"/>
  <c r="O54" i="53"/>
  <c r="AQ54" i="53"/>
  <c r="AA54" i="53"/>
  <c r="M54" i="53"/>
  <c r="AP54" i="53"/>
  <c r="Z54" i="53"/>
  <c r="L54" i="53"/>
  <c r="AR54" i="53"/>
  <c r="AD54" i="53"/>
  <c r="N54" i="53"/>
  <c r="AO54" i="53"/>
  <c r="S54" i="53"/>
  <c r="AN54" i="53"/>
  <c r="R54" i="53"/>
  <c r="AM54" i="53"/>
  <c r="Q54" i="53"/>
  <c r="AG54" i="53"/>
  <c r="AS56" i="53"/>
  <c r="AG56" i="53"/>
  <c r="S56" i="53"/>
  <c r="G56" i="53"/>
  <c r="AR56" i="53"/>
  <c r="AF56" i="53"/>
  <c r="R56" i="53"/>
  <c r="F56" i="53"/>
  <c r="AU56" i="53"/>
  <c r="AE56" i="53"/>
  <c r="O56" i="53"/>
  <c r="AQ56" i="53"/>
  <c r="AA56" i="53"/>
  <c r="M56" i="53"/>
  <c r="AP56" i="53"/>
  <c r="Z56" i="53"/>
  <c r="L56" i="53"/>
  <c r="AT56" i="53"/>
  <c r="AD56" i="53"/>
  <c r="N56" i="53"/>
  <c r="AO56" i="53"/>
  <c r="U56" i="53"/>
  <c r="AN56" i="53"/>
  <c r="T56" i="53"/>
  <c r="AM56" i="53"/>
  <c r="Q56" i="53"/>
  <c r="AI56" i="53"/>
  <c r="AJ59" i="53"/>
  <c r="V59" i="53"/>
  <c r="J59" i="53"/>
  <c r="AU59" i="53"/>
  <c r="AI59" i="53"/>
  <c r="U59" i="53"/>
  <c r="I59" i="53"/>
  <c r="AS59" i="53"/>
  <c r="AE59" i="53"/>
  <c r="O59" i="53"/>
  <c r="AQ59" i="53"/>
  <c r="AA59" i="53"/>
  <c r="M59" i="53"/>
  <c r="AP59" i="53"/>
  <c r="Z59" i="53"/>
  <c r="L59" i="53"/>
  <c r="AR59" i="53"/>
  <c r="AD59" i="53"/>
  <c r="N59" i="53"/>
  <c r="AO59" i="53"/>
  <c r="S59" i="53"/>
  <c r="AN59" i="53"/>
  <c r="R59" i="53"/>
  <c r="AM59" i="53"/>
  <c r="Q59" i="53"/>
  <c r="AG59" i="53"/>
  <c r="AT61" i="53"/>
  <c r="AH61" i="53"/>
  <c r="T61" i="53"/>
  <c r="H61" i="53"/>
  <c r="AS61" i="53"/>
  <c r="AG61" i="53"/>
  <c r="S61" i="53"/>
  <c r="G61" i="53"/>
  <c r="AU61" i="53"/>
  <c r="AE61" i="53"/>
  <c r="O61" i="53"/>
  <c r="AQ61" i="53"/>
  <c r="AA61" i="53"/>
  <c r="M61" i="53"/>
  <c r="AP61" i="53"/>
  <c r="Z61" i="53"/>
  <c r="L61" i="53"/>
  <c r="AR61" i="53"/>
  <c r="AD61" i="53"/>
  <c r="N61" i="53"/>
  <c r="AO61" i="53"/>
  <c r="U61" i="53"/>
  <c r="AN61" i="53"/>
  <c r="R61" i="53"/>
  <c r="AM61" i="53"/>
  <c r="Q61" i="53"/>
  <c r="AI61" i="53"/>
  <c r="G63" i="53"/>
  <c r="AK63" i="53"/>
  <c r="E47" i="53"/>
  <c r="AK47" i="53"/>
  <c r="G51" i="53"/>
  <c r="AJ51" i="53"/>
  <c r="E54" i="53"/>
  <c r="AJ54" i="53"/>
  <c r="E56" i="53"/>
  <c r="AJ56" i="53"/>
  <c r="E59" i="53"/>
  <c r="AH59" i="53"/>
  <c r="E61" i="53"/>
  <c r="AJ61" i="53"/>
  <c r="H63" i="53"/>
  <c r="AL45" i="53"/>
  <c r="X45" i="53"/>
  <c r="L45" i="53"/>
  <c r="AK45" i="53"/>
  <c r="W45" i="53"/>
  <c r="K45" i="53"/>
  <c r="AT45" i="53"/>
  <c r="AF45" i="53"/>
  <c r="P45" i="53"/>
  <c r="AR45" i="53"/>
  <c r="AD45" i="53"/>
  <c r="N45" i="53"/>
  <c r="AS45" i="53"/>
  <c r="AE45" i="53"/>
  <c r="O45" i="53"/>
  <c r="AN45" i="53"/>
  <c r="S45" i="53"/>
  <c r="AM45" i="53"/>
  <c r="R45" i="53"/>
  <c r="AJ45" i="53"/>
  <c r="Q45" i="53"/>
  <c r="Z45" i="53"/>
  <c r="F47" i="53"/>
  <c r="AL47" i="53"/>
  <c r="H51" i="53"/>
  <c r="AK51" i="53"/>
  <c r="F54" i="53"/>
  <c r="AK54" i="53"/>
  <c r="H56" i="53"/>
  <c r="AK56" i="53"/>
  <c r="F59" i="53"/>
  <c r="AK59" i="53"/>
  <c r="F61" i="53"/>
  <c r="AK61" i="53"/>
  <c r="I63" i="53"/>
  <c r="AK64" i="53"/>
  <c r="W64" i="53"/>
  <c r="K64" i="53"/>
  <c r="AJ64" i="53"/>
  <c r="V64" i="53"/>
  <c r="J64" i="53"/>
  <c r="AT64" i="53"/>
  <c r="AF64" i="53"/>
  <c r="P64" i="53"/>
  <c r="AR64" i="53"/>
  <c r="AD64" i="53"/>
  <c r="N64" i="53"/>
  <c r="AQ64" i="53"/>
  <c r="AA64" i="53"/>
  <c r="M64" i="53"/>
  <c r="AS64" i="53"/>
  <c r="AE64" i="53"/>
  <c r="O64" i="53"/>
  <c r="AP64" i="53"/>
  <c r="T64" i="53"/>
  <c r="AO64" i="53"/>
  <c r="S64" i="53"/>
  <c r="AN64" i="53"/>
  <c r="R64" i="53"/>
  <c r="AM64" i="53"/>
  <c r="Q64" i="53"/>
  <c r="AH64" i="53"/>
  <c r="E45" i="53"/>
  <c r="AA45" i="53"/>
  <c r="G47" i="53"/>
  <c r="AM47" i="53"/>
  <c r="I51" i="53"/>
  <c r="AL51" i="53"/>
  <c r="G54" i="53"/>
  <c r="AL54" i="53"/>
  <c r="I56" i="53"/>
  <c r="AL56" i="53"/>
  <c r="G59" i="53"/>
  <c r="AL59" i="53"/>
  <c r="I61" i="53"/>
  <c r="AL61" i="53"/>
  <c r="J63" i="53"/>
  <c r="E64" i="53"/>
  <c r="AI64" i="53"/>
  <c r="AU42" i="53"/>
  <c r="AI42" i="53"/>
  <c r="U42" i="53"/>
  <c r="I42" i="53"/>
  <c r="AS42" i="53"/>
  <c r="AG42" i="53"/>
  <c r="G42" i="53"/>
  <c r="AT42" i="53"/>
  <c r="AH42" i="53"/>
  <c r="T42" i="53"/>
  <c r="H42" i="53"/>
  <c r="S42" i="53"/>
  <c r="AL42" i="53"/>
  <c r="R42" i="53"/>
  <c r="AK42" i="53"/>
  <c r="Q42" i="53"/>
  <c r="AJ42" i="53"/>
  <c r="P42" i="53"/>
  <c r="Y42" i="53"/>
  <c r="AN43" i="53"/>
  <c r="Z43" i="53"/>
  <c r="N43" i="53"/>
  <c r="AM43" i="53"/>
  <c r="Y43" i="53"/>
  <c r="AT43" i="53"/>
  <c r="AF43" i="53"/>
  <c r="P43" i="53"/>
  <c r="AR43" i="53"/>
  <c r="AD43" i="53"/>
  <c r="M43" i="53"/>
  <c r="AS43" i="53"/>
  <c r="AE43" i="53"/>
  <c r="O43" i="53"/>
  <c r="AA43" i="53"/>
  <c r="I43" i="53"/>
  <c r="X43" i="53"/>
  <c r="H43" i="53"/>
  <c r="AU43" i="53"/>
  <c r="W43" i="53"/>
  <c r="G43" i="53"/>
  <c r="AG43" i="53"/>
  <c r="F45" i="53"/>
  <c r="AG45" i="53"/>
  <c r="P47" i="53"/>
  <c r="AN47" i="53"/>
  <c r="J51" i="53"/>
  <c r="J54" i="53"/>
  <c r="J56" i="53"/>
  <c r="H59" i="53"/>
  <c r="AT59" i="53"/>
  <c r="J61" i="53"/>
  <c r="K63" i="53"/>
  <c r="F64" i="53"/>
  <c r="AL64" i="53"/>
  <c r="E42" i="53"/>
  <c r="Z42" i="53"/>
  <c r="E43" i="53"/>
  <c r="AH43" i="53"/>
  <c r="G45" i="53"/>
  <c r="AH45" i="53"/>
  <c r="Q47" i="53"/>
  <c r="AO47" i="53"/>
  <c r="AM50" i="53"/>
  <c r="Y50" i="53"/>
  <c r="M50" i="53"/>
  <c r="AL50" i="53"/>
  <c r="X50" i="53"/>
  <c r="L50" i="53"/>
  <c r="AT50" i="53"/>
  <c r="AF50" i="53"/>
  <c r="P50" i="53"/>
  <c r="AR50" i="53"/>
  <c r="AD50" i="53"/>
  <c r="N50" i="53"/>
  <c r="AQ50" i="53"/>
  <c r="AA50" i="53"/>
  <c r="K50" i="53"/>
  <c r="AS50" i="53"/>
  <c r="AE50" i="53"/>
  <c r="O50" i="53"/>
  <c r="AP50" i="53"/>
  <c r="T50" i="53"/>
  <c r="AO50" i="53"/>
  <c r="S50" i="53"/>
  <c r="AN50" i="53"/>
  <c r="R50" i="53"/>
  <c r="AG50" i="53"/>
  <c r="K51" i="53"/>
  <c r="AK52" i="53"/>
  <c r="W52" i="53"/>
  <c r="K52" i="53"/>
  <c r="AJ52" i="53"/>
  <c r="V52" i="53"/>
  <c r="J52" i="53"/>
  <c r="AT52" i="53"/>
  <c r="AF52" i="53"/>
  <c r="P52" i="53"/>
  <c r="AR52" i="53"/>
  <c r="N52" i="53"/>
  <c r="AQ52" i="53"/>
  <c r="AA52" i="53"/>
  <c r="M52" i="53"/>
  <c r="AS52" i="53"/>
  <c r="AE52" i="53"/>
  <c r="O52" i="53"/>
  <c r="AD52" i="53"/>
  <c r="AP52" i="53"/>
  <c r="T52" i="53"/>
  <c r="AO52" i="53"/>
  <c r="S52" i="53"/>
  <c r="AN52" i="53"/>
  <c r="R52" i="53"/>
  <c r="AG52" i="53"/>
  <c r="K54" i="53"/>
  <c r="AN55" i="53"/>
  <c r="Z55" i="53"/>
  <c r="N55" i="53"/>
  <c r="AM55" i="53"/>
  <c r="Y55" i="53"/>
  <c r="M55" i="53"/>
  <c r="AT55" i="53"/>
  <c r="AF55" i="53"/>
  <c r="P55" i="53"/>
  <c r="AR55" i="53"/>
  <c r="AD55" i="53"/>
  <c r="L55" i="53"/>
  <c r="AQ55" i="53"/>
  <c r="AA55" i="53"/>
  <c r="K55" i="53"/>
  <c r="AS55" i="53"/>
  <c r="AE55" i="53"/>
  <c r="O55" i="53"/>
  <c r="AP55" i="53"/>
  <c r="T55" i="53"/>
  <c r="AO55" i="53"/>
  <c r="S55" i="53"/>
  <c r="AL55" i="53"/>
  <c r="R55" i="53"/>
  <c r="AG55" i="53"/>
  <c r="K56" i="53"/>
  <c r="AL57" i="53"/>
  <c r="X57" i="53"/>
  <c r="L57" i="53"/>
  <c r="AK57" i="53"/>
  <c r="W57" i="53"/>
  <c r="K57" i="53"/>
  <c r="AT57" i="53"/>
  <c r="AF57" i="53"/>
  <c r="P57" i="53"/>
  <c r="AR57" i="53"/>
  <c r="AD57" i="53"/>
  <c r="N57" i="53"/>
  <c r="AQ57" i="53"/>
  <c r="AA57" i="53"/>
  <c r="M57" i="53"/>
  <c r="AS57" i="53"/>
  <c r="AE57" i="53"/>
  <c r="O57" i="53"/>
  <c r="AP57" i="53"/>
  <c r="T57" i="53"/>
  <c r="AO57" i="53"/>
  <c r="S57" i="53"/>
  <c r="AN57" i="53"/>
  <c r="R57" i="53"/>
  <c r="AG57" i="53"/>
  <c r="K59" i="53"/>
  <c r="AO60" i="53"/>
  <c r="AA60" i="53"/>
  <c r="O60" i="53"/>
  <c r="AN60" i="53"/>
  <c r="Z60" i="53"/>
  <c r="N60" i="53"/>
  <c r="AT60" i="53"/>
  <c r="AF60" i="53"/>
  <c r="P60" i="53"/>
  <c r="AR60" i="53"/>
  <c r="AD60" i="53"/>
  <c r="L60" i="53"/>
  <c r="AQ60" i="53"/>
  <c r="Y60" i="53"/>
  <c r="K60" i="53"/>
  <c r="AS60" i="53"/>
  <c r="AE60" i="53"/>
  <c r="M60" i="53"/>
  <c r="AP60" i="53"/>
  <c r="T60" i="53"/>
  <c r="AM60" i="53"/>
  <c r="S60" i="53"/>
  <c r="AL60" i="53"/>
  <c r="R60" i="53"/>
  <c r="AG60" i="53"/>
  <c r="K61" i="53"/>
  <c r="AM62" i="53"/>
  <c r="Y62" i="53"/>
  <c r="M62" i="53"/>
  <c r="AL62" i="53"/>
  <c r="X62" i="53"/>
  <c r="L62" i="53"/>
  <c r="AT62" i="53"/>
  <c r="AF62" i="53"/>
  <c r="P62" i="53"/>
  <c r="AR62" i="53"/>
  <c r="AD62" i="53"/>
  <c r="N62" i="53"/>
  <c r="AQ62" i="53"/>
  <c r="AA62" i="53"/>
  <c r="K62" i="53"/>
  <c r="AS62" i="53"/>
  <c r="AE62" i="53"/>
  <c r="O62" i="53"/>
  <c r="AP62" i="53"/>
  <c r="T62" i="53"/>
  <c r="AO62" i="53"/>
  <c r="S62" i="53"/>
  <c r="AN62" i="53"/>
  <c r="R62" i="53"/>
  <c r="AK62" i="53"/>
  <c r="AG62" i="53"/>
  <c r="V63" i="53"/>
  <c r="G64" i="53"/>
  <c r="AU64" i="53"/>
  <c r="F42" i="53"/>
  <c r="AA42" i="53"/>
  <c r="F43" i="53"/>
  <c r="AI43" i="53"/>
  <c r="H45" i="53"/>
  <c r="AI45" i="53"/>
  <c r="R47" i="53"/>
  <c r="AP47" i="53"/>
  <c r="E50" i="53"/>
  <c r="AH50" i="53"/>
  <c r="P51" i="53"/>
  <c r="E52" i="53"/>
  <c r="AH52" i="53"/>
  <c r="P54" i="53"/>
  <c r="E55" i="53"/>
  <c r="AH55" i="53"/>
  <c r="P56" i="53"/>
  <c r="E57" i="53"/>
  <c r="AH57" i="53"/>
  <c r="P59" i="53"/>
  <c r="E60" i="53"/>
  <c r="AH60" i="53"/>
  <c r="P61" i="53"/>
  <c r="E62" i="53"/>
  <c r="AH62" i="53"/>
  <c r="W63" i="53"/>
  <c r="H64" i="53"/>
  <c r="J42" i="53"/>
  <c r="AD42" i="53"/>
  <c r="J43" i="53"/>
  <c r="AJ43" i="53"/>
  <c r="I45" i="53"/>
  <c r="AO45" i="53"/>
  <c r="S47" i="53"/>
  <c r="AT47" i="53"/>
  <c r="F50" i="53"/>
  <c r="AI50" i="53"/>
  <c r="V51" i="53"/>
  <c r="F52" i="53"/>
  <c r="AI52" i="53"/>
  <c r="V54" i="53"/>
  <c r="F55" i="53"/>
  <c r="AI55" i="53"/>
  <c r="V56" i="53"/>
  <c r="F57" i="53"/>
  <c r="AI57" i="53"/>
  <c r="T59" i="53"/>
  <c r="F60" i="53"/>
  <c r="AI60" i="53"/>
  <c r="V61" i="53"/>
  <c r="F62" i="53"/>
  <c r="AI62" i="53"/>
  <c r="X63" i="53"/>
  <c r="I64" i="53"/>
  <c r="AU66" i="53"/>
  <c r="AI66" i="53"/>
  <c r="U66" i="53"/>
  <c r="I66" i="53"/>
  <c r="AT66" i="53"/>
  <c r="AH66" i="53"/>
  <c r="T66" i="53"/>
  <c r="H66" i="53"/>
  <c r="AS66" i="53"/>
  <c r="AE66" i="53"/>
  <c r="O66" i="53"/>
  <c r="AQ66" i="53"/>
  <c r="AA66" i="53"/>
  <c r="M66" i="53"/>
  <c r="AP66" i="53"/>
  <c r="Z66" i="53"/>
  <c r="L66" i="53"/>
  <c r="AR66" i="53"/>
  <c r="AD66" i="53"/>
  <c r="N66" i="53"/>
  <c r="AO66" i="53"/>
  <c r="S66" i="53"/>
  <c r="AN66" i="53"/>
  <c r="R66" i="53"/>
  <c r="AM66" i="53"/>
  <c r="Q66" i="53"/>
  <c r="AL66" i="53"/>
  <c r="P66" i="53"/>
  <c r="AJ66" i="53"/>
  <c r="K42" i="53"/>
  <c r="AE42" i="53"/>
  <c r="K43" i="53"/>
  <c r="AK43" i="53"/>
  <c r="J45" i="53"/>
  <c r="AP45" i="53"/>
  <c r="T47" i="53"/>
  <c r="AO48" i="53"/>
  <c r="AA48" i="53"/>
  <c r="O48" i="53"/>
  <c r="AN48" i="53"/>
  <c r="Z48" i="53"/>
  <c r="N48" i="53"/>
  <c r="AT48" i="53"/>
  <c r="AF48" i="53"/>
  <c r="P48" i="53"/>
  <c r="AR48" i="53"/>
  <c r="AD48" i="53"/>
  <c r="L48" i="53"/>
  <c r="AS48" i="53"/>
  <c r="AE48" i="53"/>
  <c r="M48" i="53"/>
  <c r="Y48" i="53"/>
  <c r="H48" i="53"/>
  <c r="X48" i="53"/>
  <c r="G48" i="53"/>
  <c r="AU48" i="53"/>
  <c r="W48" i="53"/>
  <c r="F48" i="53"/>
  <c r="AH48" i="53"/>
  <c r="G50" i="53"/>
  <c r="AJ50" i="53"/>
  <c r="W51" i="53"/>
  <c r="G52" i="53"/>
  <c r="AL52" i="53"/>
  <c r="W54" i="53"/>
  <c r="G55" i="53"/>
  <c r="AJ55" i="53"/>
  <c r="W56" i="53"/>
  <c r="G57" i="53"/>
  <c r="AJ57" i="53"/>
  <c r="W59" i="53"/>
  <c r="G60" i="53"/>
  <c r="AJ60" i="53"/>
  <c r="W61" i="53"/>
  <c r="G62" i="53"/>
  <c r="AJ62" i="53"/>
  <c r="Y63" i="53"/>
  <c r="L64" i="53"/>
  <c r="E66" i="53"/>
  <c r="AK66" i="53"/>
  <c r="AS44" i="53"/>
  <c r="AG44" i="53"/>
  <c r="S44" i="53"/>
  <c r="G44" i="53"/>
  <c r="AR44" i="53"/>
  <c r="AF44" i="53"/>
  <c r="R44" i="53"/>
  <c r="F44" i="53"/>
  <c r="AU44" i="53"/>
  <c r="AE44" i="53"/>
  <c r="O44" i="53"/>
  <c r="AQ44" i="53"/>
  <c r="AA44" i="53"/>
  <c r="AT44" i="53"/>
  <c r="AD44" i="53"/>
  <c r="N44" i="53"/>
  <c r="M44" i="53"/>
  <c r="W44" i="53"/>
  <c r="AP44" i="53"/>
  <c r="AT49" i="53"/>
  <c r="AH49" i="53"/>
  <c r="T49" i="53"/>
  <c r="H49" i="53"/>
  <c r="AS49" i="53"/>
  <c r="AG49" i="53"/>
  <c r="S49" i="53"/>
  <c r="G49" i="53"/>
  <c r="AU49" i="53"/>
  <c r="AE49" i="53"/>
  <c r="O49" i="53"/>
  <c r="AQ49" i="53"/>
  <c r="AA49" i="53"/>
  <c r="M49" i="53"/>
  <c r="AR49" i="53"/>
  <c r="AD49" i="53"/>
  <c r="N49" i="53"/>
  <c r="W49" i="53"/>
  <c r="AP49" i="53"/>
  <c r="P41" i="53"/>
  <c r="AD41" i="53"/>
  <c r="P46" i="53"/>
  <c r="AD46" i="53"/>
  <c r="AP46" i="53"/>
  <c r="O53" i="53"/>
  <c r="AA53" i="53"/>
  <c r="AO53" i="53"/>
  <c r="P58" i="53"/>
  <c r="AD58" i="53"/>
  <c r="AP58" i="53"/>
  <c r="O65" i="53"/>
  <c r="AA65" i="53"/>
  <c r="AO65" i="53"/>
  <c r="E46" i="53"/>
  <c r="Q46" i="53"/>
  <c r="AE46" i="53"/>
  <c r="P53" i="53"/>
  <c r="AD53" i="53"/>
  <c r="E58" i="53"/>
  <c r="Q58" i="53"/>
  <c r="AE58" i="53"/>
  <c r="P65" i="53"/>
  <c r="AD65" i="53"/>
  <c r="AK45" i="56"/>
  <c r="W45" i="56"/>
  <c r="K45" i="56"/>
  <c r="AR45" i="56"/>
  <c r="AE45" i="56"/>
  <c r="P45" i="56"/>
  <c r="AQ45" i="56"/>
  <c r="AD45" i="56"/>
  <c r="O45" i="56"/>
  <c r="AG45" i="56"/>
  <c r="N45" i="56"/>
  <c r="AU45" i="56"/>
  <c r="AF45" i="56"/>
  <c r="M45" i="56"/>
  <c r="AT45" i="56"/>
  <c r="AA45" i="56"/>
  <c r="L45" i="56"/>
  <c r="AS45" i="56"/>
  <c r="Z45" i="56"/>
  <c r="J45" i="56"/>
  <c r="AP45" i="56"/>
  <c r="Y45" i="56"/>
  <c r="I45" i="56"/>
  <c r="AH45" i="56"/>
  <c r="AU47" i="56"/>
  <c r="AI47" i="56"/>
  <c r="U47" i="56"/>
  <c r="I47" i="56"/>
  <c r="AJ47" i="56"/>
  <c r="T47" i="56"/>
  <c r="G47" i="56"/>
  <c r="AH47" i="56"/>
  <c r="S47" i="56"/>
  <c r="F47" i="56"/>
  <c r="AT47" i="56"/>
  <c r="AE47" i="56"/>
  <c r="N47" i="56"/>
  <c r="AS47" i="56"/>
  <c r="AD47" i="56"/>
  <c r="M47" i="56"/>
  <c r="AR47" i="56"/>
  <c r="AA47" i="56"/>
  <c r="L47" i="56"/>
  <c r="AQ47" i="56"/>
  <c r="Z47" i="56"/>
  <c r="K47" i="56"/>
  <c r="AP47" i="56"/>
  <c r="Y47" i="56"/>
  <c r="J47" i="56"/>
  <c r="AK47" i="56"/>
  <c r="AO53" i="56"/>
  <c r="AA53" i="56"/>
  <c r="O53" i="56"/>
  <c r="AM53" i="56"/>
  <c r="X53" i="56"/>
  <c r="K53" i="56"/>
  <c r="AL53" i="56"/>
  <c r="W53" i="56"/>
  <c r="J53" i="56"/>
  <c r="AG53" i="56"/>
  <c r="P53" i="56"/>
  <c r="AU53" i="56"/>
  <c r="AF53" i="56"/>
  <c r="N53" i="56"/>
  <c r="AT53" i="56"/>
  <c r="AE53" i="56"/>
  <c r="M53" i="56"/>
  <c r="AS53" i="56"/>
  <c r="AD53" i="56"/>
  <c r="L53" i="56"/>
  <c r="AR53" i="56"/>
  <c r="Z53" i="56"/>
  <c r="I53" i="56"/>
  <c r="AQ53" i="56"/>
  <c r="Y53" i="56"/>
  <c r="H53" i="56"/>
  <c r="AJ53" i="56"/>
  <c r="AI45" i="56"/>
  <c r="E53" i="56"/>
  <c r="AK53" i="56"/>
  <c r="AO60" i="56"/>
  <c r="AA60" i="56"/>
  <c r="O60" i="56"/>
  <c r="AN60" i="56"/>
  <c r="Z60" i="56"/>
  <c r="N60" i="56"/>
  <c r="AT60" i="56"/>
  <c r="AF60" i="56"/>
  <c r="P60" i="56"/>
  <c r="AS60" i="56"/>
  <c r="AE60" i="56"/>
  <c r="M60" i="56"/>
  <c r="AI60" i="56"/>
  <c r="Q60" i="56"/>
  <c r="AH60" i="56"/>
  <c r="L60" i="56"/>
  <c r="AG60" i="56"/>
  <c r="K60" i="56"/>
  <c r="AD60" i="56"/>
  <c r="J60" i="56"/>
  <c r="AU60" i="56"/>
  <c r="Y60" i="56"/>
  <c r="I60" i="56"/>
  <c r="AR60" i="56"/>
  <c r="X60" i="56"/>
  <c r="H60" i="56"/>
  <c r="AL60" i="56"/>
  <c r="N41" i="56"/>
  <c r="AI41" i="56"/>
  <c r="S45" i="56"/>
  <c r="V47" i="56"/>
  <c r="AS49" i="56"/>
  <c r="AG49" i="56"/>
  <c r="S49" i="56"/>
  <c r="G49" i="56"/>
  <c r="AO49" i="56"/>
  <c r="Z49" i="56"/>
  <c r="M49" i="56"/>
  <c r="AN49" i="56"/>
  <c r="Y49" i="56"/>
  <c r="L49" i="56"/>
  <c r="AH49" i="56"/>
  <c r="P49" i="56"/>
  <c r="AF49" i="56"/>
  <c r="O49" i="56"/>
  <c r="AU49" i="56"/>
  <c r="AE49" i="56"/>
  <c r="N49" i="56"/>
  <c r="AT49" i="56"/>
  <c r="AD49" i="56"/>
  <c r="K49" i="56"/>
  <c r="AR49" i="56"/>
  <c r="AA49" i="56"/>
  <c r="J49" i="56"/>
  <c r="AI49" i="56"/>
  <c r="AJ52" i="56"/>
  <c r="V52" i="56"/>
  <c r="J52" i="56"/>
  <c r="AQ52" i="56"/>
  <c r="AD52" i="56"/>
  <c r="O52" i="56"/>
  <c r="AP52" i="56"/>
  <c r="AA52" i="56"/>
  <c r="N52" i="56"/>
  <c r="AS52" i="56"/>
  <c r="Z52" i="56"/>
  <c r="K52" i="56"/>
  <c r="AR52" i="56"/>
  <c r="Y52" i="56"/>
  <c r="I52" i="56"/>
  <c r="AO52" i="56"/>
  <c r="X52" i="56"/>
  <c r="H52" i="56"/>
  <c r="AN52" i="56"/>
  <c r="W52" i="56"/>
  <c r="G52" i="56"/>
  <c r="AM52" i="56"/>
  <c r="U52" i="56"/>
  <c r="F52" i="56"/>
  <c r="AL52" i="56"/>
  <c r="AH52" i="56"/>
  <c r="T53" i="56"/>
  <c r="J54" i="56"/>
  <c r="AP54" i="56"/>
  <c r="T60" i="56"/>
  <c r="T62" i="56"/>
  <c r="P63" i="56"/>
  <c r="O41" i="56"/>
  <c r="T45" i="56"/>
  <c r="W47" i="56"/>
  <c r="E49" i="56"/>
  <c r="AJ49" i="56"/>
  <c r="E52" i="56"/>
  <c r="AI52" i="56"/>
  <c r="U53" i="56"/>
  <c r="K54" i="56"/>
  <c r="AQ54" i="56"/>
  <c r="U60" i="56"/>
  <c r="U62" i="56"/>
  <c r="S63" i="56"/>
  <c r="E45" i="56"/>
  <c r="F45" i="56"/>
  <c r="AJ45" i="56"/>
  <c r="H47" i="56"/>
  <c r="AM47" i="56"/>
  <c r="F53" i="56"/>
  <c r="AN53" i="56"/>
  <c r="E60" i="56"/>
  <c r="AM60" i="56"/>
  <c r="AP62" i="56"/>
  <c r="G45" i="56"/>
  <c r="G53" i="56"/>
  <c r="AP53" i="56"/>
  <c r="F60" i="56"/>
  <c r="AP60" i="56"/>
  <c r="E62" i="56"/>
  <c r="AQ62" i="56"/>
  <c r="AK41" i="56"/>
  <c r="W41" i="56"/>
  <c r="K41" i="56"/>
  <c r="AJ41" i="56"/>
  <c r="V41" i="56"/>
  <c r="J41" i="56"/>
  <c r="AP41" i="56"/>
  <c r="Z41" i="56"/>
  <c r="L41" i="56"/>
  <c r="AO41" i="56"/>
  <c r="Y41" i="56"/>
  <c r="I41" i="56"/>
  <c r="AN41" i="56"/>
  <c r="X41" i="56"/>
  <c r="H41" i="56"/>
  <c r="AM41" i="56"/>
  <c r="U41" i="56"/>
  <c r="G41" i="56"/>
  <c r="AL41" i="56"/>
  <c r="T41" i="56"/>
  <c r="F41" i="56"/>
  <c r="AF41" i="56"/>
  <c r="H45" i="56"/>
  <c r="Q53" i="56"/>
  <c r="AM54" i="56"/>
  <c r="G60" i="56"/>
  <c r="AQ60" i="56"/>
  <c r="AN45" i="56"/>
  <c r="Q47" i="56"/>
  <c r="M41" i="56"/>
  <c r="AH41" i="56"/>
  <c r="AO45" i="56"/>
  <c r="R47" i="56"/>
  <c r="I54" i="56"/>
  <c r="S60" i="56"/>
  <c r="H62" i="56"/>
  <c r="AP63" i="56"/>
  <c r="P41" i="56"/>
  <c r="AR41" i="56"/>
  <c r="U45" i="56"/>
  <c r="X47" i="56"/>
  <c r="F49" i="56"/>
  <c r="AK49" i="56"/>
  <c r="L52" i="56"/>
  <c r="AK52" i="56"/>
  <c r="V53" i="56"/>
  <c r="L54" i="56"/>
  <c r="V60" i="56"/>
  <c r="E47" i="56"/>
  <c r="AL47" i="56"/>
  <c r="AM62" i="56"/>
  <c r="Y62" i="56"/>
  <c r="M62" i="56"/>
  <c r="AL62" i="56"/>
  <c r="X62" i="56"/>
  <c r="L62" i="56"/>
  <c r="AT62" i="56"/>
  <c r="AF62" i="56"/>
  <c r="P62" i="56"/>
  <c r="AR62" i="56"/>
  <c r="AD62" i="56"/>
  <c r="N62" i="56"/>
  <c r="AS62" i="56"/>
  <c r="AE62" i="56"/>
  <c r="O62" i="56"/>
  <c r="AN62" i="56"/>
  <c r="S62" i="56"/>
  <c r="AK62" i="56"/>
  <c r="R62" i="56"/>
  <c r="AJ62" i="56"/>
  <c r="Q62" i="56"/>
  <c r="AI62" i="56"/>
  <c r="K62" i="56"/>
  <c r="AH62" i="56"/>
  <c r="J62" i="56"/>
  <c r="AG62" i="56"/>
  <c r="I62" i="56"/>
  <c r="AL45" i="56"/>
  <c r="O47" i="56"/>
  <c r="AN47" i="56"/>
  <c r="AM45" i="56"/>
  <c r="P47" i="56"/>
  <c r="AO47" i="56"/>
  <c r="AT54" i="56"/>
  <c r="AH54" i="56"/>
  <c r="T54" i="56"/>
  <c r="H54" i="56"/>
  <c r="AJ54" i="56"/>
  <c r="U54" i="56"/>
  <c r="G54" i="56"/>
  <c r="AI54" i="56"/>
  <c r="S54" i="56"/>
  <c r="F54" i="56"/>
  <c r="AL54" i="56"/>
  <c r="R54" i="56"/>
  <c r="AK54" i="56"/>
  <c r="Q54" i="56"/>
  <c r="AG54" i="56"/>
  <c r="P54" i="56"/>
  <c r="AF54" i="56"/>
  <c r="O54" i="56"/>
  <c r="AU54" i="56"/>
  <c r="AE54" i="56"/>
  <c r="N54" i="56"/>
  <c r="AS54" i="56"/>
  <c r="AD54" i="56"/>
  <c r="M54" i="56"/>
  <c r="F62" i="56"/>
  <c r="AU62" i="56"/>
  <c r="E41" i="56"/>
  <c r="AG41" i="56"/>
  <c r="Q45" i="56"/>
  <c r="R53" i="56"/>
  <c r="E54" i="56"/>
  <c r="AN54" i="56"/>
  <c r="R60" i="56"/>
  <c r="G62" i="56"/>
  <c r="R45" i="56"/>
  <c r="S53" i="56"/>
  <c r="AO54" i="56"/>
  <c r="AR63" i="56"/>
  <c r="AF63" i="56"/>
  <c r="R63" i="56"/>
  <c r="F63" i="56"/>
  <c r="AQ63" i="56"/>
  <c r="AE63" i="56"/>
  <c r="Q63" i="56"/>
  <c r="E63" i="56"/>
  <c r="AU63" i="56"/>
  <c r="AG63" i="56"/>
  <c r="O63" i="56"/>
  <c r="AS63" i="56"/>
  <c r="AA63" i="56"/>
  <c r="M63" i="56"/>
  <c r="AT63" i="56"/>
  <c r="AD63" i="56"/>
  <c r="N63" i="56"/>
  <c r="AJ63" i="56"/>
  <c r="L63" i="56"/>
  <c r="AI63" i="56"/>
  <c r="K63" i="56"/>
  <c r="AH63" i="56"/>
  <c r="J63" i="56"/>
  <c r="Z63" i="56"/>
  <c r="I63" i="56"/>
  <c r="Y63" i="56"/>
  <c r="H63" i="56"/>
  <c r="X63" i="56"/>
  <c r="G63" i="56"/>
  <c r="Q41" i="56"/>
  <c r="AS41" i="56"/>
  <c r="V45" i="56"/>
  <c r="AF47" i="56"/>
  <c r="H49" i="56"/>
  <c r="AL49" i="56"/>
  <c r="M52" i="56"/>
  <c r="AT52" i="56"/>
  <c r="AH53" i="56"/>
  <c r="V54" i="56"/>
  <c r="W60" i="56"/>
  <c r="W62" i="56"/>
  <c r="U63" i="56"/>
  <c r="AR44" i="56"/>
  <c r="AF44" i="56"/>
  <c r="R44" i="56"/>
  <c r="F44" i="56"/>
  <c r="AI44" i="56"/>
  <c r="T44" i="56"/>
  <c r="G44" i="56"/>
  <c r="AU44" i="56"/>
  <c r="AH44" i="56"/>
  <c r="S44" i="56"/>
  <c r="E44" i="56"/>
  <c r="V44" i="56"/>
  <c r="AM44" i="56"/>
  <c r="AK57" i="56"/>
  <c r="W57" i="56"/>
  <c r="K57" i="56"/>
  <c r="AL57" i="56"/>
  <c r="V57" i="56"/>
  <c r="I57" i="56"/>
  <c r="AJ57" i="56"/>
  <c r="U57" i="56"/>
  <c r="H57" i="56"/>
  <c r="S57" i="56"/>
  <c r="AM57" i="56"/>
  <c r="AK64" i="56"/>
  <c r="W64" i="56"/>
  <c r="K64" i="56"/>
  <c r="AJ64" i="56"/>
  <c r="V64" i="56"/>
  <c r="J64" i="56"/>
  <c r="AT64" i="56"/>
  <c r="AF64" i="56"/>
  <c r="P64" i="56"/>
  <c r="AR64" i="56"/>
  <c r="AD64" i="56"/>
  <c r="N64" i="56"/>
  <c r="AS64" i="56"/>
  <c r="AE64" i="56"/>
  <c r="O64" i="56"/>
  <c r="U64" i="56"/>
  <c r="AP64" i="56"/>
  <c r="H44" i="56"/>
  <c r="W44" i="56"/>
  <c r="AN44" i="56"/>
  <c r="E57" i="56"/>
  <c r="T57" i="56"/>
  <c r="AN57" i="56"/>
  <c r="E64" i="56"/>
  <c r="X64" i="56"/>
  <c r="AQ64" i="56"/>
  <c r="AM43" i="56"/>
  <c r="Y43" i="56"/>
  <c r="M43" i="56"/>
  <c r="AL43" i="56"/>
  <c r="W43" i="56"/>
  <c r="J43" i="56"/>
  <c r="AK43" i="56"/>
  <c r="V43" i="56"/>
  <c r="I43" i="56"/>
  <c r="S43" i="56"/>
  <c r="AJ43" i="56"/>
  <c r="I44" i="56"/>
  <c r="X44" i="56"/>
  <c r="AO44" i="56"/>
  <c r="F57" i="56"/>
  <c r="X57" i="56"/>
  <c r="AO57" i="56"/>
  <c r="AJ59" i="56"/>
  <c r="V59" i="56"/>
  <c r="J59" i="56"/>
  <c r="AU59" i="56"/>
  <c r="AI59" i="56"/>
  <c r="U59" i="56"/>
  <c r="I59" i="56"/>
  <c r="AS59" i="56"/>
  <c r="AE59" i="56"/>
  <c r="O59" i="56"/>
  <c r="AR59" i="56"/>
  <c r="AD59" i="56"/>
  <c r="N59" i="56"/>
  <c r="T59" i="56"/>
  <c r="AN59" i="56"/>
  <c r="AT61" i="56"/>
  <c r="AH61" i="56"/>
  <c r="T61" i="56"/>
  <c r="H61" i="56"/>
  <c r="AS61" i="56"/>
  <c r="AG61" i="56"/>
  <c r="S61" i="56"/>
  <c r="G61" i="56"/>
  <c r="AU61" i="56"/>
  <c r="AE61" i="56"/>
  <c r="O61" i="56"/>
  <c r="AQ61" i="56"/>
  <c r="AR61" i="56"/>
  <c r="AD61" i="56"/>
  <c r="N61" i="56"/>
  <c r="V61" i="56"/>
  <c r="AN61" i="56"/>
  <c r="F64" i="56"/>
  <c r="Y64" i="56"/>
  <c r="AU64" i="56"/>
  <c r="E43" i="56"/>
  <c r="T43" i="56"/>
  <c r="AN43" i="56"/>
  <c r="J44" i="56"/>
  <c r="Y44" i="56"/>
  <c r="AP44" i="56"/>
  <c r="AR56" i="56"/>
  <c r="AF56" i="56"/>
  <c r="R56" i="56"/>
  <c r="F56" i="56"/>
  <c r="AO56" i="56"/>
  <c r="Z56" i="56"/>
  <c r="M56" i="56"/>
  <c r="AN56" i="56"/>
  <c r="Y56" i="56"/>
  <c r="L56" i="56"/>
  <c r="T56" i="56"/>
  <c r="AK56" i="56"/>
  <c r="G57" i="56"/>
  <c r="Y57" i="56"/>
  <c r="AP57" i="56"/>
  <c r="E59" i="56"/>
  <c r="W59" i="56"/>
  <c r="AO59" i="56"/>
  <c r="E61" i="56"/>
  <c r="W61" i="56"/>
  <c r="AO61" i="56"/>
  <c r="G64" i="56"/>
  <c r="Z64" i="56"/>
  <c r="F43" i="56"/>
  <c r="U43" i="56"/>
  <c r="AO43" i="56"/>
  <c r="K44" i="56"/>
  <c r="Z44" i="56"/>
  <c r="AQ44" i="56"/>
  <c r="AL50" i="56"/>
  <c r="X50" i="56"/>
  <c r="L50" i="56"/>
  <c r="AK50" i="56"/>
  <c r="V50" i="56"/>
  <c r="I50" i="56"/>
  <c r="AJ50" i="56"/>
  <c r="U50" i="56"/>
  <c r="H50" i="56"/>
  <c r="S50" i="56"/>
  <c r="AM50" i="56"/>
  <c r="E56" i="56"/>
  <c r="U56" i="56"/>
  <c r="AL56" i="56"/>
  <c r="J57" i="56"/>
  <c r="Z57" i="56"/>
  <c r="AQ57" i="56"/>
  <c r="F59" i="56"/>
  <c r="X59" i="56"/>
  <c r="AP59" i="56"/>
  <c r="F61" i="56"/>
  <c r="X61" i="56"/>
  <c r="AP61" i="56"/>
  <c r="H64" i="56"/>
  <c r="AA64" i="56"/>
  <c r="AU66" i="56"/>
  <c r="AI66" i="56"/>
  <c r="U66" i="56"/>
  <c r="I66" i="56"/>
  <c r="AT66" i="56"/>
  <c r="AH66" i="56"/>
  <c r="T66" i="56"/>
  <c r="H66" i="56"/>
  <c r="AS66" i="56"/>
  <c r="AE66" i="56"/>
  <c r="O66" i="56"/>
  <c r="AQ66" i="56"/>
  <c r="AA66" i="56"/>
  <c r="M66" i="56"/>
  <c r="AR66" i="56"/>
  <c r="AD66" i="56"/>
  <c r="N66" i="56"/>
  <c r="W66" i="56"/>
  <c r="AP66" i="56"/>
  <c r="AQ51" i="56"/>
  <c r="AE51" i="56"/>
  <c r="Q51" i="56"/>
  <c r="E51" i="56"/>
  <c r="R51" i="56"/>
  <c r="AG51" i="56"/>
  <c r="AT51" i="56"/>
  <c r="P42" i="56"/>
  <c r="AD42" i="56"/>
  <c r="AP42" i="56"/>
  <c r="AN48" i="56"/>
  <c r="Z48" i="56"/>
  <c r="N48" i="56"/>
  <c r="Q48" i="56"/>
  <c r="AF48" i="56"/>
  <c r="AS48" i="56"/>
  <c r="F51" i="56"/>
  <c r="S51" i="56"/>
  <c r="AH51" i="56"/>
  <c r="AU51" i="56"/>
  <c r="AM55" i="56"/>
  <c r="Y55" i="56"/>
  <c r="M55" i="56"/>
  <c r="Q55" i="56"/>
  <c r="AF55" i="56"/>
  <c r="AS55" i="56"/>
  <c r="P46" i="56"/>
  <c r="AD46" i="56"/>
  <c r="P58" i="56"/>
  <c r="AD58" i="56"/>
  <c r="O65" i="56"/>
  <c r="AA65" i="56"/>
  <c r="AO65" i="56"/>
  <c r="P65" i="56"/>
  <c r="AD65" i="56"/>
  <c r="AG65" i="1"/>
  <c r="R53" i="1"/>
  <c r="AU52" i="1"/>
  <c r="L51" i="1"/>
  <c r="AI49" i="1"/>
  <c r="F61" i="1"/>
  <c r="AD52" i="1"/>
  <c r="AD65" i="1"/>
  <c r="AT50" i="1"/>
  <c r="I53" i="1"/>
  <c r="V50" i="1"/>
  <c r="V53" i="1"/>
  <c r="J62" i="1"/>
  <c r="L62" i="1"/>
  <c r="AL50" i="1"/>
  <c r="R64" i="1"/>
  <c r="N64" i="1"/>
  <c r="AU49" i="1"/>
  <c r="G51" i="1"/>
  <c r="AJ49" i="1"/>
  <c r="W49" i="1"/>
  <c r="AJ64" i="1"/>
  <c r="O61" i="1"/>
  <c r="AI52" i="1"/>
  <c r="AL51" i="1"/>
  <c r="Z51" i="1"/>
  <c r="AE48" i="1"/>
  <c r="AI61" i="1"/>
  <c r="N49" i="1"/>
  <c r="H49" i="1"/>
  <c r="Y61" i="1"/>
  <c r="O60" i="1"/>
  <c r="N60" i="1"/>
  <c r="Y48" i="1"/>
  <c r="E48" i="1"/>
  <c r="AP65" i="1"/>
  <c r="E61" i="1"/>
  <c r="AO61" i="1"/>
  <c r="AG63" i="1"/>
  <c r="AF50" i="1"/>
  <c r="AI53" i="1"/>
  <c r="AT53" i="1"/>
  <c r="O53" i="1"/>
  <c r="V62" i="1"/>
  <c r="T62" i="1"/>
  <c r="X50" i="1"/>
  <c r="AK64" i="1"/>
  <c r="H51" i="1"/>
  <c r="X48" i="1"/>
  <c r="I64" i="1"/>
  <c r="Y52" i="1"/>
  <c r="E51" i="1"/>
  <c r="AM49" i="1"/>
  <c r="S64" i="1"/>
  <c r="U64" i="1"/>
  <c r="Z53" i="1"/>
  <c r="M61" i="1"/>
  <c r="AU51" i="1"/>
  <c r="O63" i="1"/>
  <c r="AJ53" i="1"/>
  <c r="AG53" i="1"/>
  <c r="AG50" i="1"/>
  <c r="X62" i="1"/>
  <c r="Z62" i="1"/>
  <c r="AR64" i="1"/>
  <c r="AE51" i="1"/>
  <c r="AD64" i="1"/>
  <c r="R49" i="1"/>
  <c r="AM51" i="1"/>
  <c r="AD51" i="1"/>
  <c r="AH61" i="1"/>
  <c r="T61" i="1"/>
  <c r="X49" i="1"/>
  <c r="H65" i="1"/>
  <c r="AD61" i="1"/>
  <c r="AU63" i="1"/>
  <c r="J53" i="1"/>
  <c r="L52" i="1"/>
  <c r="G50" i="1"/>
  <c r="U51" i="1"/>
  <c r="K51" i="1"/>
  <c r="N51" i="1"/>
  <c r="T65" i="1"/>
  <c r="Z48" i="1"/>
  <c r="U65" i="1"/>
  <c r="AN49" i="1"/>
  <c r="E49" i="1"/>
  <c r="S61" i="1"/>
  <c r="P60" i="1"/>
  <c r="AJ60" i="1"/>
  <c r="AJ48" i="1"/>
  <c r="AD48" i="1"/>
  <c r="AU61" i="1"/>
  <c r="AN61" i="1"/>
  <c r="T53" i="1"/>
  <c r="H53" i="1"/>
  <c r="AE53" i="1"/>
  <c r="Q50" i="1"/>
  <c r="AH50" i="1"/>
  <c r="U62" i="1"/>
  <c r="G62" i="1"/>
  <c r="AQ50" i="1"/>
  <c r="AP64" i="1"/>
  <c r="W51" i="1"/>
  <c r="AN64" i="1"/>
  <c r="AN52" i="1"/>
  <c r="X53" i="1"/>
  <c r="P64" i="1"/>
  <c r="AE61" i="1"/>
  <c r="AE50" i="1"/>
  <c r="AT52" i="1"/>
  <c r="AK51" i="1"/>
  <c r="AO51" i="1"/>
  <c r="AF65" i="1"/>
  <c r="R60" i="1"/>
  <c r="V48" i="1"/>
  <c r="K49" i="1"/>
  <c r="G49" i="1"/>
  <c r="AI48" i="1"/>
  <c r="AL60" i="1"/>
  <c r="M60" i="1"/>
  <c r="T48" i="1"/>
  <c r="AS48" i="1"/>
  <c r="U61" i="1"/>
  <c r="AQ64" i="1"/>
  <c r="Q53" i="1"/>
  <c r="AD53" i="1"/>
  <c r="K53" i="1"/>
  <c r="AI62" i="1"/>
  <c r="AQ62" i="1"/>
  <c r="O50" i="1"/>
  <c r="Y64" i="1"/>
  <c r="AT51" i="1"/>
  <c r="E64" i="1"/>
  <c r="AE52" i="1"/>
  <c r="U53" i="1"/>
  <c r="AM48" i="1"/>
  <c r="L64" i="1"/>
  <c r="P62" i="1"/>
  <c r="M53" i="1"/>
  <c r="F65" i="1"/>
  <c r="AR51" i="1"/>
  <c r="AJ63" i="1"/>
  <c r="P53" i="1"/>
  <c r="G64" i="1"/>
  <c r="X64" i="1"/>
  <c r="AJ52" i="1"/>
  <c r="AP51" i="1"/>
  <c r="AM65" i="1"/>
  <c r="AJ50" i="1"/>
  <c r="E50" i="1"/>
  <c r="AH52" i="1"/>
  <c r="AQ51" i="1"/>
  <c r="J51" i="1"/>
  <c r="Y51" i="1"/>
  <c r="G61" i="1"/>
  <c r="M48" i="1"/>
  <c r="AG49" i="1"/>
  <c r="F49" i="1"/>
  <c r="AU48" i="1"/>
  <c r="AA60" i="1"/>
  <c r="V60" i="1"/>
  <c r="AU60" i="1"/>
  <c r="AA48" i="1"/>
  <c r="AN48" i="1"/>
  <c r="AG61" i="1"/>
  <c r="I61" i="1"/>
  <c r="AK52" i="1"/>
  <c r="I50" i="1"/>
  <c r="AR53" i="1"/>
  <c r="F53" i="1"/>
  <c r="AU53" i="1"/>
  <c r="AS53" i="1"/>
  <c r="Y50" i="1"/>
  <c r="S62" i="1"/>
  <c r="W50" i="1"/>
  <c r="AG51" i="1"/>
  <c r="AR52" i="1"/>
  <c r="Y53" i="1"/>
  <c r="AD49" i="1"/>
  <c r="AT48" i="1"/>
  <c r="AO53" i="1"/>
  <c r="O51" i="1"/>
  <c r="AT64" i="1"/>
  <c r="AN50" i="1"/>
  <c r="AJ51" i="1"/>
  <c r="M51" i="1"/>
  <c r="Q51" i="1"/>
  <c r="V49" i="1"/>
  <c r="AP49" i="1"/>
  <c r="AG60" i="1"/>
  <c r="AS60" i="1"/>
  <c r="AI60" i="1"/>
  <c r="O48" i="1"/>
  <c r="AF61" i="1"/>
  <c r="AK61" i="1"/>
  <c r="AT61" i="1"/>
  <c r="AF52" i="1"/>
  <c r="W60" i="1"/>
  <c r="E53" i="1"/>
  <c r="W53" i="1"/>
  <c r="AH53" i="1"/>
  <c r="AA53" i="1"/>
  <c r="AS63" i="1"/>
  <c r="AG62" i="1"/>
  <c r="AR50" i="1"/>
  <c r="F51" i="1"/>
  <c r="AG48" i="1"/>
  <c r="K61" i="1"/>
  <c r="AK53" i="1"/>
  <c r="AL53" i="1"/>
  <c r="P52" i="1"/>
  <c r="L53" i="1"/>
  <c r="P51" i="1"/>
  <c r="AM50" i="1"/>
  <c r="AH51" i="1"/>
  <c r="V51" i="1"/>
  <c r="X51" i="1"/>
  <c r="AN51" i="1"/>
  <c r="F60" i="1"/>
  <c r="AL61" i="1"/>
  <c r="P48" i="1"/>
  <c r="AR48" i="1"/>
  <c r="Q60" i="1"/>
  <c r="AD60" i="1"/>
  <c r="L60" i="1"/>
  <c r="AH48" i="1"/>
  <c r="Y60" i="1"/>
  <c r="N61" i="1"/>
  <c r="AP53" i="1"/>
  <c r="G53" i="1"/>
  <c r="H50" i="1"/>
  <c r="Y62" i="1"/>
  <c r="R50" i="1"/>
  <c r="E41" i="1"/>
  <c r="V41" i="1"/>
  <c r="AN41" i="1"/>
  <c r="AT41" i="1"/>
  <c r="Q41" i="1"/>
  <c r="Z41" i="1"/>
  <c r="AK41" i="1"/>
  <c r="AD41" i="1"/>
  <c r="S41" i="1"/>
  <c r="X41" i="1"/>
  <c r="J41" i="1"/>
  <c r="AO41" i="1"/>
  <c r="W41" i="1"/>
  <c r="R41" i="1"/>
  <c r="AM41" i="1"/>
  <c r="I41" i="1"/>
  <c r="AJ41" i="1"/>
  <c r="Y41" i="1"/>
  <c r="AE41" i="1"/>
  <c r="AA41" i="1"/>
  <c r="AL41" i="1"/>
  <c r="C41" i="1"/>
  <c r="O41" i="1"/>
  <c r="T41" i="1"/>
  <c r="AQ41" i="1"/>
  <c r="AG41" i="1"/>
  <c r="AR41" i="1"/>
  <c r="AU41" i="1"/>
  <c r="K41" i="1"/>
  <c r="P41" i="1"/>
  <c r="L41" i="1"/>
  <c r="U41" i="1"/>
  <c r="AP41" i="1"/>
  <c r="G41" i="1"/>
  <c r="N41" i="1"/>
  <c r="K16" i="55"/>
  <c r="J16" i="55" s="1"/>
  <c r="K23" i="55"/>
  <c r="J23" i="55" s="1"/>
  <c r="K3" i="55"/>
  <c r="J3" i="55" s="1"/>
  <c r="K20" i="55"/>
  <c r="J20" i="55" s="1"/>
  <c r="K6" i="55"/>
  <c r="J6" i="55" s="1"/>
  <c r="K5" i="55"/>
  <c r="J5" i="55" s="1"/>
  <c r="K22" i="55"/>
  <c r="J22" i="55" s="1"/>
  <c r="K12" i="55"/>
  <c r="J12" i="55" s="1"/>
  <c r="K7" i="55"/>
  <c r="J7" i="55" s="1"/>
  <c r="K11" i="55"/>
  <c r="J11" i="55" s="1"/>
  <c r="K14" i="55"/>
  <c r="J14" i="55" s="1"/>
  <c r="K4" i="55"/>
  <c r="J4" i="55" s="1"/>
  <c r="K24" i="55"/>
  <c r="J24" i="55" s="1"/>
  <c r="K18" i="55"/>
  <c r="J18" i="55" s="1"/>
  <c r="K19" i="55"/>
  <c r="J19" i="55" s="1"/>
  <c r="K8" i="55"/>
  <c r="J8" i="55" s="1"/>
  <c r="K17" i="55"/>
  <c r="J17" i="55" s="1"/>
  <c r="K9" i="55"/>
  <c r="J9" i="55" s="1"/>
  <c r="K15" i="55"/>
  <c r="J15" i="55" s="1"/>
  <c r="K13" i="55"/>
  <c r="J13" i="55" s="1"/>
  <c r="K2" i="55"/>
  <c r="J2" i="55" s="1"/>
  <c r="K21" i="55"/>
  <c r="J21" i="55" s="1"/>
  <c r="K10" i="55"/>
  <c r="J10" i="55" s="1"/>
  <c r="AF68" i="1"/>
  <c r="X68" i="1"/>
  <c r="L68" i="1"/>
  <c r="AP68" i="1"/>
  <c r="E68" i="1"/>
  <c r="AL68" i="1"/>
  <c r="G68" i="1"/>
  <c r="R68" i="1"/>
  <c r="AN68" i="1"/>
  <c r="W68" i="1"/>
  <c r="S68" i="1"/>
  <c r="H68" i="1"/>
  <c r="Z68" i="1"/>
  <c r="O68" i="1"/>
  <c r="AD68" i="1"/>
  <c r="AA68" i="1"/>
  <c r="T68" i="1"/>
  <c r="AU68" i="1"/>
  <c r="K68" i="1"/>
  <c r="AJ68" i="1"/>
  <c r="AM68" i="1"/>
  <c r="AE68" i="1"/>
  <c r="N68" i="1"/>
  <c r="AQ68" i="1"/>
  <c r="Y69" i="1"/>
  <c r="AO68" i="1"/>
  <c r="AK68" i="1"/>
  <c r="V68" i="1"/>
  <c r="AE67" i="1"/>
  <c r="AQ67" i="1"/>
  <c r="AU67" i="1"/>
  <c r="V67" i="1"/>
  <c r="J68" i="1"/>
  <c r="F68" i="1"/>
  <c r="AE66" i="1"/>
  <c r="AN66" i="1"/>
  <c r="R69" i="1"/>
  <c r="AE69" i="1"/>
  <c r="Z69" i="1"/>
  <c r="S69" i="1"/>
  <c r="AF69" i="1"/>
  <c r="AH69" i="1"/>
  <c r="AT69" i="1"/>
  <c r="X69" i="1"/>
  <c r="AQ69" i="1"/>
  <c r="AN69" i="1"/>
  <c r="AD69" i="1"/>
  <c r="M68" i="1"/>
  <c r="AO69" i="1"/>
  <c r="H69" i="1"/>
  <c r="P68" i="1"/>
  <c r="AT68" i="1"/>
  <c r="O69" i="1"/>
  <c r="G69" i="1"/>
  <c r="U68" i="1"/>
  <c r="AR69" i="1"/>
  <c r="Q68" i="1"/>
  <c r="M69" i="1"/>
  <c r="AR68" i="1"/>
  <c r="AR67" i="1"/>
  <c r="I69" i="1"/>
  <c r="W69" i="1"/>
  <c r="Y68" i="1"/>
  <c r="L69" i="1"/>
  <c r="J67" i="1"/>
  <c r="Q67" i="1"/>
  <c r="P69" i="1"/>
  <c r="AA69" i="1"/>
  <c r="AG68" i="1"/>
  <c r="AL69" i="1"/>
  <c r="AS68" i="1"/>
  <c r="E69" i="1"/>
  <c r="AI68" i="1"/>
  <c r="AH49" i="1"/>
  <c r="O49" i="1"/>
  <c r="U49" i="1"/>
  <c r="M49" i="1"/>
  <c r="Z49" i="1"/>
  <c r="AT49" i="1"/>
  <c r="P49" i="1"/>
  <c r="AQ49" i="1"/>
  <c r="S49" i="1"/>
  <c r="V57" i="1"/>
  <c r="I57" i="1"/>
  <c r="S57" i="1"/>
  <c r="R57" i="1"/>
  <c r="AT57" i="1"/>
  <c r="N57" i="1"/>
  <c r="AE57" i="1"/>
  <c r="U60" i="1"/>
  <c r="AK60" i="1"/>
  <c r="AL52" i="1"/>
  <c r="N52" i="1"/>
  <c r="W52" i="1"/>
  <c r="G52" i="1"/>
  <c r="AO64" i="1"/>
  <c r="M64" i="1"/>
  <c r="V64" i="1"/>
  <c r="AA64" i="1"/>
  <c r="AI64" i="1"/>
  <c r="O64" i="1"/>
  <c r="Q64" i="1"/>
  <c r="AK44" i="1"/>
  <c r="AR44" i="1"/>
  <c r="L44" i="1"/>
  <c r="AQ58" i="1"/>
  <c r="AF58" i="1"/>
  <c r="T58" i="1"/>
  <c r="AM43" i="1"/>
  <c r="R43" i="1"/>
  <c r="AK43" i="1"/>
  <c r="S53" i="1"/>
  <c r="I46" i="1"/>
  <c r="N46" i="1"/>
  <c r="F46" i="1"/>
  <c r="AF46" i="1"/>
  <c r="AE46" i="1"/>
  <c r="AK46" i="1"/>
  <c r="Q46" i="1"/>
  <c r="AP46" i="1"/>
  <c r="AU46" i="1"/>
  <c r="AJ46" i="1"/>
  <c r="Z46" i="1"/>
  <c r="AD46" i="1"/>
  <c r="J46" i="1"/>
  <c r="AO46" i="1"/>
  <c r="AH46" i="1"/>
  <c r="O46" i="1"/>
  <c r="U46" i="1"/>
  <c r="AM46" i="1"/>
  <c r="K46" i="1"/>
  <c r="AR46" i="1"/>
  <c r="W46" i="1"/>
  <c r="Z63" i="1"/>
  <c r="J63" i="1"/>
  <c r="R63" i="1"/>
  <c r="G63" i="1"/>
  <c r="M63" i="1"/>
  <c r="E63" i="1"/>
  <c r="W63" i="1"/>
  <c r="AQ63" i="1"/>
  <c r="AK63" i="1"/>
  <c r="F63" i="1"/>
  <c r="AR63" i="1"/>
  <c r="AN63" i="1"/>
  <c r="AM63" i="1"/>
  <c r="S63" i="1"/>
  <c r="AP63" i="1"/>
  <c r="AL63" i="1"/>
  <c r="P63" i="1"/>
  <c r="AO63" i="1"/>
  <c r="AH63" i="1"/>
  <c r="I63" i="1"/>
  <c r="AA63" i="1"/>
  <c r="Q63" i="1"/>
  <c r="AG52" i="1"/>
  <c r="AP52" i="1"/>
  <c r="AT62" i="1"/>
  <c r="N62" i="1"/>
  <c r="I62" i="1"/>
  <c r="AH62" i="1"/>
  <c r="Q52" i="1"/>
  <c r="I52" i="1"/>
  <c r="K52" i="1"/>
  <c r="V52" i="1"/>
  <c r="F62" i="1"/>
  <c r="K62" i="1"/>
  <c r="AU62" i="1"/>
  <c r="F50" i="1"/>
  <c r="J50" i="1"/>
  <c r="N50" i="1"/>
  <c r="M50" i="1"/>
  <c r="T50" i="1"/>
  <c r="Z50" i="1"/>
  <c r="AA52" i="1"/>
  <c r="Z52" i="1"/>
  <c r="O52" i="1"/>
  <c r="AO52" i="1"/>
  <c r="AM52" i="1"/>
  <c r="AQ52" i="1"/>
  <c r="F52" i="1"/>
  <c r="H52" i="1"/>
  <c r="X52" i="1"/>
  <c r="AS52" i="1"/>
  <c r="U52" i="1"/>
  <c r="R52" i="1"/>
  <c r="S52" i="1"/>
  <c r="J52" i="1"/>
  <c r="E52" i="1"/>
  <c r="AM62" i="1"/>
  <c r="AR62" i="1"/>
  <c r="Q62" i="1"/>
  <c r="E62" i="1"/>
  <c r="AD62" i="1"/>
  <c r="AF62" i="1"/>
  <c r="AP62" i="1"/>
  <c r="O62" i="1"/>
  <c r="AJ62" i="1"/>
  <c r="AE62" i="1"/>
  <c r="AS62" i="1"/>
  <c r="M52" i="1"/>
  <c r="H62" i="1"/>
  <c r="AL62" i="1"/>
  <c r="M62" i="1"/>
  <c r="X45" i="1"/>
  <c r="AK45" i="1"/>
  <c r="J45" i="1"/>
  <c r="J57" i="1"/>
  <c r="Q57" i="1"/>
  <c r="K57" i="1"/>
  <c r="M45" i="1"/>
  <c r="F45" i="1"/>
  <c r="P45" i="1"/>
  <c r="Q45" i="1"/>
  <c r="AE45" i="1"/>
  <c r="J56" i="1"/>
  <c r="E56" i="1"/>
  <c r="M56" i="1"/>
  <c r="V56" i="1"/>
  <c r="W45" i="1"/>
  <c r="K56" i="1"/>
  <c r="AF42" i="1"/>
  <c r="G42" i="1"/>
  <c r="I68" i="1"/>
  <c r="J61" i="1"/>
  <c r="W61" i="1"/>
  <c r="H61" i="1"/>
  <c r="Z61" i="1"/>
  <c r="X67" i="1"/>
  <c r="H67" i="1"/>
  <c r="AO67" i="1"/>
  <c r="T67" i="1"/>
  <c r="AJ67" i="1"/>
  <c r="R67" i="1"/>
  <c r="AT67" i="1"/>
  <c r="K67" i="1"/>
  <c r="AS67" i="1"/>
  <c r="AF67" i="1"/>
  <c r="AL67" i="1"/>
  <c r="AP67" i="1"/>
  <c r="AI67" i="1"/>
  <c r="U67" i="1"/>
  <c r="AK67" i="1"/>
  <c r="Y67" i="1"/>
  <c r="M67" i="1"/>
  <c r="I67" i="1"/>
  <c r="AH67" i="1"/>
  <c r="AN67" i="1"/>
  <c r="W67" i="1"/>
  <c r="AG67" i="1"/>
  <c r="N67" i="1"/>
  <c r="AA67" i="1"/>
  <c r="L67" i="1"/>
  <c r="AO66" i="1"/>
  <c r="T66" i="1"/>
  <c r="AG66" i="1"/>
  <c r="AJ66" i="1"/>
  <c r="AI66" i="1"/>
  <c r="AA66" i="1"/>
  <c r="AU66" i="1"/>
  <c r="L66" i="1"/>
  <c r="K66" i="1"/>
  <c r="O66" i="1"/>
  <c r="AS66" i="1"/>
  <c r="Q66" i="1"/>
  <c r="E66" i="1"/>
  <c r="W66" i="1"/>
  <c r="AD66" i="1"/>
  <c r="AP66" i="1"/>
  <c r="R66" i="1"/>
  <c r="AF66" i="1"/>
  <c r="J66" i="1"/>
  <c r="AM66" i="1"/>
  <c r="U66" i="1"/>
  <c r="F66" i="1"/>
  <c r="Y66" i="1"/>
  <c r="I66" i="1"/>
  <c r="AL66" i="1"/>
  <c r="G67" i="1"/>
  <c r="V66" i="1"/>
  <c r="AM67" i="1"/>
  <c r="G66" i="1"/>
  <c r="J65" i="1"/>
  <c r="Q65" i="1"/>
  <c r="AT65" i="1"/>
  <c r="M65" i="1"/>
  <c r="R65" i="1"/>
  <c r="AJ65" i="1"/>
  <c r="AS65" i="1"/>
  <c r="K65" i="1"/>
  <c r="AE65" i="1"/>
  <c r="AK65" i="1"/>
  <c r="O65" i="1"/>
  <c r="AH65" i="1"/>
  <c r="N65" i="1"/>
  <c r="AO65" i="1"/>
  <c r="G65" i="1"/>
  <c r="L65" i="1"/>
  <c r="AR65" i="1"/>
  <c r="V65" i="1"/>
  <c r="AL65" i="1"/>
  <c r="Z67" i="1"/>
  <c r="AH66" i="1"/>
  <c r="P65" i="1"/>
  <c r="S65" i="1"/>
  <c r="P66" i="1"/>
  <c r="F67" i="1"/>
  <c r="AA65" i="1"/>
  <c r="H66" i="1"/>
  <c r="AN65" i="1"/>
  <c r="X65" i="1"/>
  <c r="AD67" i="1"/>
  <c r="Y65" i="1"/>
  <c r="M66" i="1"/>
  <c r="AU65" i="1"/>
  <c r="P67" i="1"/>
  <c r="AK66" i="1"/>
  <c r="AQ65" i="1"/>
  <c r="X66" i="1"/>
  <c r="I65" i="1"/>
  <c r="AR66" i="1"/>
  <c r="O67" i="1"/>
  <c r="Z66" i="1"/>
  <c r="W65" i="1"/>
  <c r="S67" i="1"/>
  <c r="Z65" i="1"/>
  <c r="H70" i="1"/>
  <c r="G70" i="1"/>
  <c r="N70" i="1"/>
  <c r="F64" i="1"/>
  <c r="J64" i="1"/>
  <c r="AM64" i="1"/>
  <c r="AR70" i="1"/>
  <c r="K64" i="1"/>
  <c r="AD70" i="1"/>
  <c r="AG70" i="1"/>
  <c r="M70" i="1"/>
  <c r="AU64" i="1"/>
  <c r="AL64" i="1"/>
  <c r="AS69" i="1"/>
  <c r="AJ70" i="1"/>
  <c r="U69" i="1"/>
  <c r="P70" i="1"/>
  <c r="L70" i="1"/>
  <c r="N63" i="1"/>
  <c r="H63" i="1"/>
  <c r="F69" i="1"/>
  <c r="K69" i="1"/>
  <c r="AK70" i="1"/>
  <c r="O70" i="1"/>
  <c r="W70" i="1"/>
  <c r="AH64" i="1"/>
  <c r="Y63" i="1"/>
  <c r="AI63" i="1"/>
  <c r="AT63" i="1"/>
  <c r="AF64" i="1"/>
  <c r="AD63" i="1"/>
  <c r="V69" i="1"/>
  <c r="AK69" i="1"/>
  <c r="Q69" i="1"/>
  <c r="J69" i="1"/>
  <c r="Z64" i="1"/>
  <c r="N69" i="1"/>
  <c r="J70" i="1"/>
  <c r="T70" i="1"/>
  <c r="AG64" i="1"/>
  <c r="L63" i="1"/>
  <c r="AG69" i="1"/>
  <c r="AP69" i="1"/>
  <c r="U70" i="1"/>
  <c r="F70" i="1"/>
  <c r="AE63" i="1"/>
  <c r="X63" i="1"/>
  <c r="AF63" i="1"/>
  <c r="AU69" i="1"/>
  <c r="AI69" i="1"/>
  <c r="AJ69" i="1"/>
  <c r="AO70" i="1"/>
  <c r="G30" i="56"/>
  <c r="U6" i="56" s="1"/>
  <c r="F30" i="56"/>
  <c r="D31" i="58" l="1"/>
  <c r="D31" i="56"/>
  <c r="H56" i="55" l="1"/>
  <c r="D26" i="55"/>
  <c r="N26" i="55"/>
  <c r="I56" i="55"/>
  <c r="I26" i="55"/>
  <c r="D56" i="55"/>
  <c r="H26" i="55"/>
  <c r="L26" i="55" l="1"/>
  <c r="C26" i="55"/>
  <c r="E26" i="55"/>
  <c r="F26" i="55"/>
  <c r="M26" i="55"/>
  <c r="O26" i="55"/>
  <c r="C56" i="55"/>
  <c r="G56" i="55"/>
  <c r="F56" i="55"/>
  <c r="E56" i="55"/>
  <c r="K26" i="55" l="1"/>
  <c r="J26" i="55" s="1"/>
  <c r="G26" i="55"/>
</calcChain>
</file>

<file path=xl/sharedStrings.xml><?xml version="1.0" encoding="utf-8"?>
<sst xmlns="http://schemas.openxmlformats.org/spreadsheetml/2006/main" count="2180" uniqueCount="352">
  <si>
    <t>被本塁打</t>
    <rPh sb="0" eb="4">
      <t>ヒホンルイダ</t>
    </rPh>
    <phoneticPr fontId="2"/>
  </si>
  <si>
    <t>被安打</t>
    <rPh sb="0" eb="3">
      <t>ヒアンダ</t>
    </rPh>
    <phoneticPr fontId="2"/>
  </si>
  <si>
    <t>与死球</t>
    <rPh sb="0" eb="1">
      <t>ヨ</t>
    </rPh>
    <rPh sb="1" eb="3">
      <t>シキュウ</t>
    </rPh>
    <phoneticPr fontId="2"/>
  </si>
  <si>
    <t>与四球</t>
    <rPh sb="0" eb="3">
      <t>ヨシキュウ</t>
    </rPh>
    <phoneticPr fontId="2"/>
  </si>
  <si>
    <t>奪三振</t>
    <rPh sb="0" eb="3">
      <t>ダツサンシン</t>
    </rPh>
    <phoneticPr fontId="2"/>
  </si>
  <si>
    <t>打席</t>
    <rPh sb="0" eb="2">
      <t>ダセキ</t>
    </rPh>
    <phoneticPr fontId="2"/>
  </si>
  <si>
    <t>自責点</t>
    <rPh sb="0" eb="3">
      <t>ジセキテン</t>
    </rPh>
    <phoneticPr fontId="2"/>
  </si>
  <si>
    <t>失点</t>
    <rPh sb="0" eb="2">
      <t>シッテン</t>
    </rPh>
    <phoneticPr fontId="2"/>
  </si>
  <si>
    <t>球数</t>
    <rPh sb="0" eb="1">
      <t>タマ</t>
    </rPh>
    <rPh sb="1" eb="2">
      <t>カズ</t>
    </rPh>
    <phoneticPr fontId="2"/>
  </si>
  <si>
    <t>回数</t>
    <rPh sb="0" eb="2">
      <t>カイスウ</t>
    </rPh>
    <phoneticPr fontId="2"/>
  </si>
  <si>
    <t>完封</t>
    <rPh sb="0" eb="2">
      <t>カンプウ</t>
    </rPh>
    <phoneticPr fontId="2"/>
  </si>
  <si>
    <t>完投</t>
    <rPh sb="0" eb="2">
      <t>カントウ</t>
    </rPh>
    <phoneticPr fontId="2"/>
  </si>
  <si>
    <t>セーブ</t>
    <phoneticPr fontId="2"/>
  </si>
  <si>
    <t>敗北</t>
    <rPh sb="0" eb="2">
      <t>ハイボク</t>
    </rPh>
    <phoneticPr fontId="2"/>
  </si>
  <si>
    <t>勝利</t>
    <rPh sb="0" eb="2">
      <t>ショウリ</t>
    </rPh>
    <phoneticPr fontId="2"/>
  </si>
  <si>
    <t>試合</t>
    <rPh sb="0" eb="2">
      <t>シアイ</t>
    </rPh>
    <phoneticPr fontId="2"/>
  </si>
  <si>
    <t>選手名</t>
    <rPh sb="0" eb="3">
      <t>センシュメイ</t>
    </rPh>
    <phoneticPr fontId="2"/>
  </si>
  <si>
    <t>背</t>
    <rPh sb="0" eb="1">
      <t>セ</t>
    </rPh>
    <phoneticPr fontId="2"/>
  </si>
  <si>
    <t>失策</t>
    <rPh sb="0" eb="2">
      <t>シッサク</t>
    </rPh>
    <phoneticPr fontId="2"/>
  </si>
  <si>
    <t>捕殺</t>
    <rPh sb="0" eb="2">
      <t>ホサツ</t>
    </rPh>
    <phoneticPr fontId="2"/>
  </si>
  <si>
    <t>刺殺</t>
    <rPh sb="0" eb="2">
      <t>シサツ</t>
    </rPh>
    <phoneticPr fontId="2"/>
  </si>
  <si>
    <t>犠飛</t>
    <rPh sb="0" eb="2">
      <t>ギヒ</t>
    </rPh>
    <phoneticPr fontId="2"/>
  </si>
  <si>
    <t>犠打</t>
    <rPh sb="0" eb="2">
      <t>ギダ</t>
    </rPh>
    <phoneticPr fontId="2"/>
  </si>
  <si>
    <t>盗塁死</t>
    <rPh sb="0" eb="3">
      <t>トウルイシ</t>
    </rPh>
    <phoneticPr fontId="2"/>
  </si>
  <si>
    <t>盗塁</t>
    <rPh sb="0" eb="2">
      <t>トウルイ</t>
    </rPh>
    <phoneticPr fontId="2"/>
  </si>
  <si>
    <t>併殺</t>
    <rPh sb="0" eb="2">
      <t>ヘイサツ</t>
    </rPh>
    <phoneticPr fontId="2"/>
  </si>
  <si>
    <t>死球</t>
    <rPh sb="0" eb="2">
      <t>シキュウ</t>
    </rPh>
    <phoneticPr fontId="2"/>
  </si>
  <si>
    <t>四球</t>
    <rPh sb="0" eb="2">
      <t>シキュウ</t>
    </rPh>
    <phoneticPr fontId="2"/>
  </si>
  <si>
    <t>三振</t>
    <rPh sb="0" eb="2">
      <t>サンシン</t>
    </rPh>
    <phoneticPr fontId="2"/>
  </si>
  <si>
    <t>得点</t>
    <rPh sb="0" eb="2">
      <t>トクテン</t>
    </rPh>
    <phoneticPr fontId="2"/>
  </si>
  <si>
    <t>打点</t>
    <rPh sb="0" eb="2">
      <t>ダテン</t>
    </rPh>
    <phoneticPr fontId="2"/>
  </si>
  <si>
    <t>本塁打</t>
    <rPh sb="0" eb="3">
      <t>ホンルイダ</t>
    </rPh>
    <phoneticPr fontId="2"/>
  </si>
  <si>
    <t>三塁打</t>
    <rPh sb="0" eb="1">
      <t>サン</t>
    </rPh>
    <rPh sb="1" eb="3">
      <t>ルイダ</t>
    </rPh>
    <phoneticPr fontId="2"/>
  </si>
  <si>
    <t>二塁打</t>
    <rPh sb="0" eb="1">
      <t>ニ</t>
    </rPh>
    <rPh sb="1" eb="3">
      <t>ルイダ</t>
    </rPh>
    <phoneticPr fontId="2"/>
  </si>
  <si>
    <t>一塁打</t>
    <rPh sb="0" eb="1">
      <t>イチ</t>
    </rPh>
    <rPh sb="1" eb="3">
      <t>ルイダ</t>
    </rPh>
    <phoneticPr fontId="2"/>
  </si>
  <si>
    <t>得点圏安打</t>
    <rPh sb="0" eb="5">
      <t>トクテンケンアンダ</t>
    </rPh>
    <phoneticPr fontId="2"/>
  </si>
  <si>
    <t>得点圏打数</t>
    <rPh sb="0" eb="5">
      <t>トクテンケンダスウ</t>
    </rPh>
    <phoneticPr fontId="2"/>
  </si>
  <si>
    <t>安打</t>
    <rPh sb="0" eb="2">
      <t>アンダ</t>
    </rPh>
    <phoneticPr fontId="2"/>
  </si>
  <si>
    <t>打数</t>
    <rPh sb="0" eb="2">
      <t>ダスウ</t>
    </rPh>
    <phoneticPr fontId="2"/>
  </si>
  <si>
    <t>守</t>
    <rPh sb="0" eb="1">
      <t>マモ</t>
    </rPh>
    <phoneticPr fontId="2"/>
  </si>
  <si>
    <t>投手成績</t>
    <rPh sb="0" eb="4">
      <t>トウシュセイセキ</t>
    </rPh>
    <phoneticPr fontId="2"/>
  </si>
  <si>
    <t>野手成績</t>
    <rPh sb="0" eb="4">
      <t>ヤシュセイセキ</t>
    </rPh>
    <phoneticPr fontId="2"/>
  </si>
  <si>
    <t>E</t>
    <phoneticPr fontId="2"/>
  </si>
  <si>
    <t>H</t>
    <phoneticPr fontId="2"/>
  </si>
  <si>
    <t>R</t>
    <phoneticPr fontId="2"/>
  </si>
  <si>
    <t>チーム</t>
    <phoneticPr fontId="2"/>
  </si>
  <si>
    <t>～</t>
    <phoneticPr fontId="2"/>
  </si>
  <si>
    <t>球場名</t>
    <rPh sb="0" eb="3">
      <t>キュウジョウメイ</t>
    </rPh>
    <phoneticPr fontId="2"/>
  </si>
  <si>
    <t>時間</t>
    <rPh sb="0" eb="2">
      <t>ジカン</t>
    </rPh>
    <phoneticPr fontId="2"/>
  </si>
  <si>
    <t>対戦相手</t>
    <rPh sb="0" eb="4">
      <t>タイセンアイテ</t>
    </rPh>
    <phoneticPr fontId="2"/>
  </si>
  <si>
    <t>大会名</t>
    <rPh sb="0" eb="3">
      <t>タイカイメイ</t>
    </rPh>
    <phoneticPr fontId="2"/>
  </si>
  <si>
    <t>日付</t>
    <rPh sb="0" eb="2">
      <t>ヒヅケ</t>
    </rPh>
    <phoneticPr fontId="2"/>
  </si>
  <si>
    <t>九国大付</t>
    <rPh sb="0" eb="4">
      <t>キュウコクダイフ</t>
    </rPh>
    <phoneticPr fontId="2"/>
  </si>
  <si>
    <t>赤星圭一</t>
    <rPh sb="0" eb="2">
      <t>アカホシ</t>
    </rPh>
    <rPh sb="2" eb="4">
      <t>ケイイチ</t>
    </rPh>
    <phoneticPr fontId="2"/>
  </si>
  <si>
    <t>簾圭智</t>
    <rPh sb="0" eb="1">
      <t>スダレ</t>
    </rPh>
    <rPh sb="1" eb="2">
      <t>ケイ</t>
    </rPh>
    <rPh sb="2" eb="3">
      <t>サトシ</t>
    </rPh>
    <phoneticPr fontId="2"/>
  </si>
  <si>
    <t>岡山朝日</t>
    <rPh sb="0" eb="4">
      <t>オカヤマアサヒ</t>
    </rPh>
    <phoneticPr fontId="2"/>
  </si>
  <si>
    <t>藤枝稜央</t>
    <rPh sb="0" eb="2">
      <t>フジエダ</t>
    </rPh>
    <rPh sb="2" eb="3">
      <t>リョウ</t>
    </rPh>
    <rPh sb="3" eb="4">
      <t>オウ</t>
    </rPh>
    <phoneticPr fontId="2"/>
  </si>
  <si>
    <t>山内治樹</t>
    <rPh sb="0" eb="4">
      <t>ヤマウチハルキ</t>
    </rPh>
    <phoneticPr fontId="2"/>
  </si>
  <si>
    <t>敬愛</t>
    <rPh sb="0" eb="2">
      <t>ケイアイ</t>
    </rPh>
    <phoneticPr fontId="2"/>
  </si>
  <si>
    <t>片山大翔</t>
    <rPh sb="0" eb="2">
      <t>カタヤマ</t>
    </rPh>
    <rPh sb="2" eb="4">
      <t>ヒロト</t>
    </rPh>
    <phoneticPr fontId="2"/>
  </si>
  <si>
    <t>下関西</t>
    <rPh sb="0" eb="3">
      <t>シモノセキニシ</t>
    </rPh>
    <phoneticPr fontId="2"/>
  </si>
  <si>
    <t>坂元勇斗</t>
    <rPh sb="0" eb="2">
      <t>サカモト</t>
    </rPh>
    <rPh sb="2" eb="3">
      <t>イサム</t>
    </rPh>
    <rPh sb="3" eb="4">
      <t>ト</t>
    </rPh>
    <phoneticPr fontId="2"/>
  </si>
  <si>
    <t>済々黌</t>
    <rPh sb="0" eb="3">
      <t>セイセイコウ</t>
    </rPh>
    <phoneticPr fontId="2"/>
  </si>
  <si>
    <t>陣内勇冴</t>
    <rPh sb="0" eb="2">
      <t>ジンナイ</t>
    </rPh>
    <rPh sb="2" eb="3">
      <t>イサム</t>
    </rPh>
    <rPh sb="3" eb="4">
      <t>サエ</t>
    </rPh>
    <phoneticPr fontId="2"/>
  </si>
  <si>
    <t>自由ケ丘</t>
    <rPh sb="0" eb="4">
      <t>ジユウガオカ</t>
    </rPh>
    <phoneticPr fontId="2"/>
  </si>
  <si>
    <t>福本陽介</t>
    <rPh sb="0" eb="2">
      <t>フクモト</t>
    </rPh>
    <rPh sb="2" eb="4">
      <t>ヨウスケ</t>
    </rPh>
    <phoneticPr fontId="2"/>
  </si>
  <si>
    <t>熊本北</t>
    <rPh sb="0" eb="3">
      <t>クマモトキタ</t>
    </rPh>
    <phoneticPr fontId="2"/>
  </si>
  <si>
    <t>衛藤伊織</t>
    <rPh sb="0" eb="2">
      <t>エトウ</t>
    </rPh>
    <rPh sb="2" eb="4">
      <t>イオリ</t>
    </rPh>
    <phoneticPr fontId="2"/>
  </si>
  <si>
    <t>北陽台</t>
    <rPh sb="0" eb="3">
      <t>ホクヨウダイ</t>
    </rPh>
    <phoneticPr fontId="2"/>
  </si>
  <si>
    <t>柴田朋哉</t>
    <rPh sb="0" eb="2">
      <t>シバタ</t>
    </rPh>
    <rPh sb="2" eb="3">
      <t>トモ</t>
    </rPh>
    <rPh sb="3" eb="4">
      <t>ヤ</t>
    </rPh>
    <phoneticPr fontId="2"/>
  </si>
  <si>
    <t>福岡中央</t>
    <rPh sb="0" eb="4">
      <t>フクオカチュウオウ</t>
    </rPh>
    <phoneticPr fontId="2"/>
  </si>
  <si>
    <t>岩室亘英</t>
    <rPh sb="0" eb="2">
      <t>イワムロ</t>
    </rPh>
    <rPh sb="2" eb="3">
      <t>ツネ</t>
    </rPh>
    <rPh sb="3" eb="4">
      <t>エイ</t>
    </rPh>
    <phoneticPr fontId="2"/>
  </si>
  <si>
    <t>興南</t>
    <rPh sb="0" eb="2">
      <t>コウナン</t>
    </rPh>
    <phoneticPr fontId="2"/>
  </si>
  <si>
    <t>我那覇公二郎</t>
    <rPh sb="0" eb="3">
      <t>ガナハ</t>
    </rPh>
    <rPh sb="3" eb="6">
      <t>コウジロウ</t>
    </rPh>
    <phoneticPr fontId="2"/>
  </si>
  <si>
    <t>明善</t>
    <rPh sb="0" eb="2">
      <t>メイゼン</t>
    </rPh>
    <phoneticPr fontId="2"/>
  </si>
  <si>
    <t>若菜光</t>
    <rPh sb="0" eb="2">
      <t>ワカナ</t>
    </rPh>
    <rPh sb="2" eb="3">
      <t>ヒカル</t>
    </rPh>
    <phoneticPr fontId="2"/>
  </si>
  <si>
    <t>筑陽学園</t>
    <rPh sb="0" eb="4">
      <t>チクヨウガクエン</t>
    </rPh>
    <phoneticPr fontId="2"/>
  </si>
  <si>
    <t>森山航丞</t>
    <rPh sb="0" eb="2">
      <t>モリヤマ</t>
    </rPh>
    <rPh sb="2" eb="3">
      <t>ワタル</t>
    </rPh>
    <rPh sb="3" eb="4">
      <t>スケ</t>
    </rPh>
    <phoneticPr fontId="2"/>
  </si>
  <si>
    <t>防府</t>
    <rPh sb="0" eb="2">
      <t>ホウフ</t>
    </rPh>
    <phoneticPr fontId="2"/>
  </si>
  <si>
    <t>清水大基</t>
    <rPh sb="0" eb="2">
      <t>シミズ</t>
    </rPh>
    <rPh sb="2" eb="4">
      <t>タイキ</t>
    </rPh>
    <phoneticPr fontId="2"/>
  </si>
  <si>
    <t>東筑</t>
    <rPh sb="0" eb="2">
      <t>トウチク</t>
    </rPh>
    <phoneticPr fontId="2"/>
  </si>
  <si>
    <t>友野水葉</t>
    <rPh sb="0" eb="4">
      <t>トモノミズハ</t>
    </rPh>
    <phoneticPr fontId="2"/>
  </si>
  <si>
    <t>（2023年）</t>
    <rPh sb="5" eb="6">
      <t>ネン</t>
    </rPh>
    <phoneticPr fontId="2"/>
  </si>
  <si>
    <t>汐田藍斗</t>
    <rPh sb="0" eb="2">
      <t>シオタ</t>
    </rPh>
    <rPh sb="2" eb="3">
      <t>アイ</t>
    </rPh>
    <rPh sb="3" eb="4">
      <t>ト</t>
    </rPh>
    <phoneticPr fontId="2"/>
  </si>
  <si>
    <t>九州共立大学</t>
    <rPh sb="0" eb="6">
      <t>キュウシュウキョウリツダイガク</t>
    </rPh>
    <phoneticPr fontId="2"/>
  </si>
  <si>
    <t>九州産業大学</t>
    <rPh sb="0" eb="6">
      <t>キュウシュウサンギョウダイガク</t>
    </rPh>
    <phoneticPr fontId="2"/>
  </si>
  <si>
    <t>九工大飯塚キャンパス野球場</t>
    <rPh sb="0" eb="3">
      <t>キュウコウダイ</t>
    </rPh>
    <rPh sb="3" eb="5">
      <t>イイヅカ</t>
    </rPh>
    <rPh sb="10" eb="13">
      <t>ヤキュウジョウ</t>
    </rPh>
    <phoneticPr fontId="2"/>
  </si>
  <si>
    <t>北九州市立大学</t>
    <rPh sb="0" eb="7">
      <t>キタキュウシュウイチリツダイガク</t>
    </rPh>
    <phoneticPr fontId="2"/>
  </si>
  <si>
    <t>春季リーグ戦</t>
    <rPh sb="0" eb="2">
      <t>シュンキ</t>
    </rPh>
    <rPh sb="5" eb="6">
      <t>セン</t>
    </rPh>
    <phoneticPr fontId="2"/>
  </si>
  <si>
    <t>門司球場</t>
    <rPh sb="0" eb="4">
      <t>モジキュウジョウ</t>
    </rPh>
    <phoneticPr fontId="2"/>
  </si>
  <si>
    <t>九州工業大学</t>
    <rPh sb="0" eb="6">
      <t>キュウシュウコウギョウダイガク</t>
    </rPh>
    <phoneticPr fontId="2"/>
  </si>
  <si>
    <t>秋季リーグ戦</t>
    <rPh sb="0" eb="2">
      <t>シュウキ</t>
    </rPh>
    <rPh sb="5" eb="6">
      <t>セン</t>
    </rPh>
    <phoneticPr fontId="2"/>
  </si>
  <si>
    <t>（2024年）</t>
    <rPh sb="5" eb="6">
      <t>ネン</t>
    </rPh>
    <phoneticPr fontId="2"/>
  </si>
  <si>
    <t>自動入力</t>
    <rPh sb="0" eb="4">
      <t>ジドウニュウリョク</t>
    </rPh>
    <phoneticPr fontId="2"/>
  </si>
  <si>
    <t>選択入力</t>
    <rPh sb="0" eb="4">
      <t>センタクニュウリョク</t>
    </rPh>
    <phoneticPr fontId="2"/>
  </si>
  <si>
    <t>手入力</t>
    <rPh sb="0" eb="3">
      <t>テニュウリョク</t>
    </rPh>
    <phoneticPr fontId="2"/>
  </si>
  <si>
    <t>エラー関連</t>
    <rPh sb="3" eb="5">
      <t>カンレン</t>
    </rPh>
    <phoneticPr fontId="2"/>
  </si>
  <si>
    <t>チーム打率</t>
    <rPh sb="3" eb="5">
      <t>ダリツ</t>
    </rPh>
    <phoneticPr fontId="2"/>
  </si>
  <si>
    <t>×</t>
    <phoneticPr fontId="2"/>
  </si>
  <si>
    <t>遊</t>
  </si>
  <si>
    <t>PH</t>
  </si>
  <si>
    <t>投</t>
  </si>
  <si>
    <t>●</t>
  </si>
  <si>
    <t>一</t>
  </si>
  <si>
    <t>右</t>
  </si>
  <si>
    <t>捕</t>
  </si>
  <si>
    <t>三</t>
  </si>
  <si>
    <t>二</t>
  </si>
  <si>
    <t>左</t>
  </si>
  <si>
    <t>中</t>
  </si>
  <si>
    <t>○</t>
  </si>
  <si>
    <t>犠打飛</t>
    <rPh sb="0" eb="2">
      <t>ギダ</t>
    </rPh>
    <rPh sb="2" eb="3">
      <t>ヒ</t>
    </rPh>
    <phoneticPr fontId="2"/>
  </si>
  <si>
    <t>犠打飛</t>
    <rPh sb="0" eb="2">
      <t>ギダ</t>
    </rPh>
    <rPh sb="2" eb="3">
      <t>ト</t>
    </rPh>
    <phoneticPr fontId="2"/>
  </si>
  <si>
    <t>打率</t>
    <rPh sb="0" eb="2">
      <t>ダリツ</t>
    </rPh>
    <phoneticPr fontId="2"/>
  </si>
  <si>
    <t>得点圏打率</t>
    <rPh sb="0" eb="5">
      <t>トクテンケンダリツ</t>
    </rPh>
    <phoneticPr fontId="2"/>
  </si>
  <si>
    <t>出塁率</t>
    <rPh sb="0" eb="3">
      <t>シュツルイリツ</t>
    </rPh>
    <phoneticPr fontId="2"/>
  </si>
  <si>
    <t>長打率</t>
    <rPh sb="0" eb="3">
      <t>チョウダリツ</t>
    </rPh>
    <phoneticPr fontId="2"/>
  </si>
  <si>
    <t>OPS</t>
  </si>
  <si>
    <t>OPS</t>
    <phoneticPr fontId="2"/>
  </si>
  <si>
    <t>BB/K</t>
  </si>
  <si>
    <t>BB/K</t>
    <phoneticPr fontId="2"/>
  </si>
  <si>
    <t>盗塁成功率</t>
    <rPh sb="0" eb="5">
      <t>トウルイセイコウリツ</t>
    </rPh>
    <phoneticPr fontId="2"/>
  </si>
  <si>
    <t>RC27</t>
  </si>
  <si>
    <t>RC27</t>
    <phoneticPr fontId="2"/>
  </si>
  <si>
    <t>RC</t>
    <phoneticPr fontId="2"/>
  </si>
  <si>
    <t>A</t>
    <phoneticPr fontId="2"/>
  </si>
  <si>
    <t>B</t>
    <phoneticPr fontId="2"/>
  </si>
  <si>
    <t>C</t>
    <phoneticPr fontId="2"/>
  </si>
  <si>
    <t>守備率</t>
    <rPh sb="0" eb="3">
      <t>シュビリツ</t>
    </rPh>
    <phoneticPr fontId="2"/>
  </si>
  <si>
    <t>防御率</t>
    <rPh sb="0" eb="3">
      <t>ボウギョリツ</t>
    </rPh>
    <phoneticPr fontId="2"/>
  </si>
  <si>
    <t>勝率</t>
    <rPh sb="0" eb="2">
      <t>ショウリツ</t>
    </rPh>
    <phoneticPr fontId="2"/>
  </si>
  <si>
    <t>被打率</t>
    <rPh sb="0" eb="3">
      <t>ヒダリツ</t>
    </rPh>
    <phoneticPr fontId="2"/>
  </si>
  <si>
    <t>FIP</t>
  </si>
  <si>
    <t>FIP</t>
    <phoneticPr fontId="2"/>
  </si>
  <si>
    <t>WHIP</t>
  </si>
  <si>
    <t>WHIP</t>
    <phoneticPr fontId="2"/>
  </si>
  <si>
    <t>K/7</t>
    <phoneticPr fontId="2"/>
  </si>
  <si>
    <t>K/BB</t>
  </si>
  <si>
    <t>K/BB</t>
    <phoneticPr fontId="2"/>
  </si>
  <si>
    <t>(刺殺＋捕殺)/(刺殺＋捕殺＋失策)</t>
    <rPh sb="1" eb="3">
      <t>シサツ</t>
    </rPh>
    <rPh sb="4" eb="6">
      <t>ホサツ</t>
    </rPh>
    <rPh sb="9" eb="11">
      <t>シサツ</t>
    </rPh>
    <rPh sb="12" eb="14">
      <t>ホサツ</t>
    </rPh>
    <rPh sb="15" eb="17">
      <t>シッサク</t>
    </rPh>
    <phoneticPr fontId="2"/>
  </si>
  <si>
    <t>守備機会に対して失策しない確率</t>
    <rPh sb="0" eb="4">
      <t>シュビキカイ</t>
    </rPh>
    <rPh sb="5" eb="6">
      <t>タイ</t>
    </rPh>
    <rPh sb="8" eb="10">
      <t>シッサク</t>
    </rPh>
    <rPh sb="13" eb="15">
      <t>カクリツ</t>
    </rPh>
    <phoneticPr fontId="2"/>
  </si>
  <si>
    <t>守備</t>
    <rPh sb="0" eb="2">
      <t>シュビ</t>
    </rPh>
    <phoneticPr fontId="2"/>
  </si>
  <si>
    <t>◎勝利投手の権利を持たない
◎勝利チームの最後の投手として登板する
◎1/3イニング以上の投球回を記録する
◎同点・逆転を許さず、リードを守り切り試合を終了させる
　〇登板時のリードが３点以内であり1イニング以上投げる
　〇登板時の状況が迎える打者２人に本塁打を打たれたら同点または逆転される状況である
　〇3イニング以上投げている</t>
    <rPh sb="1" eb="5">
      <t>ショウリトウシュ</t>
    </rPh>
    <rPh sb="6" eb="8">
      <t>ケンリ</t>
    </rPh>
    <rPh sb="9" eb="10">
      <t>モ</t>
    </rPh>
    <rPh sb="15" eb="17">
      <t>ショウリ</t>
    </rPh>
    <rPh sb="21" eb="23">
      <t>サイゴ</t>
    </rPh>
    <rPh sb="24" eb="26">
      <t>トウシュ</t>
    </rPh>
    <rPh sb="42" eb="44">
      <t>イジョウ</t>
    </rPh>
    <rPh sb="45" eb="48">
      <t>トウキュウカイ</t>
    </rPh>
    <rPh sb="49" eb="51">
      <t>キロク</t>
    </rPh>
    <rPh sb="55" eb="57">
      <t>ドウテン</t>
    </rPh>
    <rPh sb="58" eb="60">
      <t>ギャクテン</t>
    </rPh>
    <rPh sb="61" eb="62">
      <t>ユル</t>
    </rPh>
    <rPh sb="69" eb="70">
      <t>マモ</t>
    </rPh>
    <rPh sb="71" eb="72">
      <t>キ</t>
    </rPh>
    <rPh sb="73" eb="75">
      <t>シアイ</t>
    </rPh>
    <rPh sb="76" eb="78">
      <t>シュウリョウ</t>
    </rPh>
    <rPh sb="84" eb="87">
      <t>トウバンジ</t>
    </rPh>
    <rPh sb="93" eb="96">
      <t>テンイナイ</t>
    </rPh>
    <rPh sb="104" eb="107">
      <t>イジョウナ</t>
    </rPh>
    <rPh sb="112" eb="115">
      <t>トウバンジ</t>
    </rPh>
    <rPh sb="116" eb="118">
      <t>ジョウキョウ</t>
    </rPh>
    <rPh sb="119" eb="120">
      <t>ムカ</t>
    </rPh>
    <rPh sb="122" eb="124">
      <t>ダシャ</t>
    </rPh>
    <rPh sb="125" eb="126">
      <t>ニン</t>
    </rPh>
    <rPh sb="127" eb="130">
      <t>ホンルイダ</t>
    </rPh>
    <rPh sb="131" eb="132">
      <t>ウ</t>
    </rPh>
    <rPh sb="136" eb="138">
      <t>ドウテン</t>
    </rPh>
    <rPh sb="141" eb="143">
      <t>ギャクテン</t>
    </rPh>
    <rPh sb="146" eb="148">
      <t>ジョウキョウ</t>
    </rPh>
    <rPh sb="159" eb="162">
      <t>イジョウナ</t>
    </rPh>
    <phoneticPr fontId="2"/>
  </si>
  <si>
    <t>セーブ条件を満たした投手</t>
    <rPh sb="3" eb="5">
      <t>ジョウケン</t>
    </rPh>
    <rPh sb="6" eb="7">
      <t>ミ</t>
    </rPh>
    <rPh sb="10" eb="12">
      <t>トウシュ</t>
    </rPh>
    <phoneticPr fontId="2"/>
  </si>
  <si>
    <t>奪三振/与四球</t>
    <rPh sb="0" eb="3">
      <t>ダツサンシン</t>
    </rPh>
    <rPh sb="4" eb="7">
      <t>ヨシキュウ</t>
    </rPh>
    <phoneticPr fontId="2"/>
  </si>
  <si>
    <t>奪三振/四球比率</t>
    <rPh sb="0" eb="3">
      <t>ダツサンシン</t>
    </rPh>
    <rPh sb="4" eb="6">
      <t>シキュウ</t>
    </rPh>
    <rPh sb="6" eb="8">
      <t>ヒリツ</t>
    </rPh>
    <phoneticPr fontId="2"/>
  </si>
  <si>
    <t>K/9</t>
  </si>
  <si>
    <t>(被安打＋与四球)/投球回</t>
    <rPh sb="1" eb="4">
      <t>ヒアンダ</t>
    </rPh>
    <rPh sb="5" eb="8">
      <t>ヨシキュウ</t>
    </rPh>
    <rPh sb="10" eb="13">
      <t>トウキュウカイ</t>
    </rPh>
    <phoneticPr fontId="2"/>
  </si>
  <si>
    <t>イニング当たりの出塁許容率</t>
    <rPh sb="4" eb="5">
      <t>ア</t>
    </rPh>
    <rPh sb="8" eb="13">
      <t>シュツルイキョヨウリツ</t>
    </rPh>
    <phoneticPr fontId="2"/>
  </si>
  <si>
    <t>(被本塁打×１３＋(与四球＋与死球)×３ー奪三振×２)/投球回＋３．１２</t>
    <rPh sb="1" eb="5">
      <t>ヒホンルイダ</t>
    </rPh>
    <rPh sb="10" eb="13">
      <t>ヨシキュウ</t>
    </rPh>
    <rPh sb="14" eb="15">
      <t>ヨ</t>
    </rPh>
    <rPh sb="15" eb="17">
      <t>シキュウ</t>
    </rPh>
    <rPh sb="21" eb="24">
      <t>ダツサンシン</t>
    </rPh>
    <rPh sb="28" eb="31">
      <t>トウキュウカイ</t>
    </rPh>
    <phoneticPr fontId="2"/>
  </si>
  <si>
    <t>守備の要素を省いた防御率</t>
    <rPh sb="0" eb="2">
      <t>シュビ</t>
    </rPh>
    <rPh sb="3" eb="5">
      <t>ヨウソ</t>
    </rPh>
    <rPh sb="6" eb="7">
      <t>ハブ</t>
    </rPh>
    <rPh sb="9" eb="12">
      <t>ボウギョリツ</t>
    </rPh>
    <phoneticPr fontId="2"/>
  </si>
  <si>
    <t>(野手指標に同じ)</t>
    <rPh sb="1" eb="3">
      <t>ヤシュ</t>
    </rPh>
    <rPh sb="3" eb="5">
      <t>シヒョウ</t>
    </rPh>
    <rPh sb="6" eb="7">
      <t>オナ</t>
    </rPh>
    <phoneticPr fontId="2"/>
  </si>
  <si>
    <t>打者に許した打率</t>
    <rPh sb="0" eb="2">
      <t>ダシャ</t>
    </rPh>
    <rPh sb="3" eb="4">
      <t>ユル</t>
    </rPh>
    <rPh sb="6" eb="8">
      <t>ダリツ</t>
    </rPh>
    <phoneticPr fontId="2"/>
  </si>
  <si>
    <t>被打率</t>
    <rPh sb="0" eb="1">
      <t>ヒ</t>
    </rPh>
    <rPh sb="1" eb="3">
      <t>ダリツ</t>
    </rPh>
    <phoneticPr fontId="2"/>
  </si>
  <si>
    <t>勝利/(勝利＋敗北)</t>
    <rPh sb="0" eb="2">
      <t>ショウリ</t>
    </rPh>
    <rPh sb="4" eb="6">
      <t>ショウリ</t>
    </rPh>
    <rPh sb="7" eb="9">
      <t>ハイボク</t>
    </rPh>
    <phoneticPr fontId="2"/>
  </si>
  <si>
    <t>勝利比率</t>
    <rPh sb="0" eb="4">
      <t>ショウリヒリツ</t>
    </rPh>
    <phoneticPr fontId="2"/>
  </si>
  <si>
    <t>投手</t>
    <rPh sb="0" eb="2">
      <t>トウシュ</t>
    </rPh>
    <phoneticPr fontId="2"/>
  </si>
  <si>
    <t>同じ打者9人で打線を組んだ場合、1試合で取れる平均得点数</t>
    <rPh sb="0" eb="1">
      <t>オナ</t>
    </rPh>
    <rPh sb="2" eb="4">
      <t>ダシャ</t>
    </rPh>
    <rPh sb="5" eb="6">
      <t>ニン</t>
    </rPh>
    <rPh sb="7" eb="9">
      <t>ダセン</t>
    </rPh>
    <rPh sb="10" eb="11">
      <t>ク</t>
    </rPh>
    <rPh sb="13" eb="15">
      <t>バアイ</t>
    </rPh>
    <rPh sb="17" eb="19">
      <t>シアイ</t>
    </rPh>
    <rPh sb="20" eb="21">
      <t>ト</t>
    </rPh>
    <rPh sb="23" eb="28">
      <t>ヘイキントクテンスウ</t>
    </rPh>
    <phoneticPr fontId="2"/>
  </si>
  <si>
    <t>盗塁/(盗塁＋盗塁死)</t>
    <rPh sb="0" eb="2">
      <t>トウルイ</t>
    </rPh>
    <rPh sb="4" eb="6">
      <t>トウルイ</t>
    </rPh>
    <rPh sb="7" eb="10">
      <t>トウルイシ</t>
    </rPh>
    <phoneticPr fontId="2"/>
  </si>
  <si>
    <t>盗塁成功比率</t>
    <rPh sb="0" eb="6">
      <t>トウルイセイコウヒリツ</t>
    </rPh>
    <phoneticPr fontId="2"/>
  </si>
  <si>
    <t>四球/三振</t>
    <rPh sb="0" eb="2">
      <t>シキュウ</t>
    </rPh>
    <rPh sb="3" eb="5">
      <t>サンシン</t>
    </rPh>
    <phoneticPr fontId="2"/>
  </si>
  <si>
    <t>四球/三振比率</t>
    <rPh sb="0" eb="2">
      <t>シキュウ</t>
    </rPh>
    <rPh sb="3" eb="7">
      <t>サンシンヒリツ</t>
    </rPh>
    <phoneticPr fontId="2"/>
  </si>
  <si>
    <t>出塁率＋長打率</t>
    <rPh sb="0" eb="3">
      <t>シュツルイリツ</t>
    </rPh>
    <rPh sb="4" eb="7">
      <t>チョウダリツ</t>
    </rPh>
    <phoneticPr fontId="2"/>
  </si>
  <si>
    <t>出塁率と長打率の合計値</t>
    <rPh sb="0" eb="3">
      <t>シュツルイリツ</t>
    </rPh>
    <rPh sb="4" eb="7">
      <t>チョウダリツ</t>
    </rPh>
    <rPh sb="8" eb="11">
      <t>ゴウケイチ</t>
    </rPh>
    <phoneticPr fontId="2"/>
  </si>
  <si>
    <t>(1塁打+2塁打×２+3塁打×３＋本塁打×４)/打数</t>
    <rPh sb="2" eb="4">
      <t>ルイダ</t>
    </rPh>
    <rPh sb="6" eb="8">
      <t>ルイダ</t>
    </rPh>
    <rPh sb="12" eb="14">
      <t>ルイダ</t>
    </rPh>
    <rPh sb="17" eb="20">
      <t>ホンルイダ</t>
    </rPh>
    <rPh sb="24" eb="26">
      <t>ダスウ</t>
    </rPh>
    <phoneticPr fontId="2"/>
  </si>
  <si>
    <t>長打比率</t>
    <rPh sb="0" eb="4">
      <t>チョウダヒリツ</t>
    </rPh>
    <phoneticPr fontId="2"/>
  </si>
  <si>
    <t>(安打+四球+死球)/(打数+四球+死球+犠飛)</t>
    <rPh sb="1" eb="3">
      <t>アンダ</t>
    </rPh>
    <rPh sb="4" eb="6">
      <t>シキュウ</t>
    </rPh>
    <rPh sb="7" eb="9">
      <t>シキュウ</t>
    </rPh>
    <rPh sb="12" eb="14">
      <t>ダスウ</t>
    </rPh>
    <rPh sb="15" eb="17">
      <t>シキュウ</t>
    </rPh>
    <rPh sb="18" eb="20">
      <t>シキュウ</t>
    </rPh>
    <rPh sb="21" eb="23">
      <t>ギヒ</t>
    </rPh>
    <phoneticPr fontId="2"/>
  </si>
  <si>
    <t>出塁比率</t>
    <rPh sb="0" eb="4">
      <t>シュツルイヒリツ</t>
    </rPh>
    <phoneticPr fontId="2"/>
  </si>
  <si>
    <t>得点圏安打/得点圏打数</t>
    <rPh sb="0" eb="3">
      <t>トクテンケン</t>
    </rPh>
    <rPh sb="3" eb="5">
      <t>アンダ</t>
    </rPh>
    <rPh sb="6" eb="9">
      <t>トクテンケン</t>
    </rPh>
    <rPh sb="9" eb="11">
      <t>ダスウ</t>
    </rPh>
    <phoneticPr fontId="2"/>
  </si>
  <si>
    <t>得点圏（走者2塁以上時）の安打比率</t>
    <rPh sb="0" eb="3">
      <t>トクテンケン</t>
    </rPh>
    <rPh sb="4" eb="6">
      <t>ソウシャ</t>
    </rPh>
    <rPh sb="7" eb="8">
      <t>ルイ</t>
    </rPh>
    <rPh sb="8" eb="10">
      <t>イジョウ</t>
    </rPh>
    <rPh sb="10" eb="11">
      <t>ジ</t>
    </rPh>
    <rPh sb="13" eb="17">
      <t>アンダヒリツ</t>
    </rPh>
    <phoneticPr fontId="2"/>
  </si>
  <si>
    <t>安打/打数</t>
    <rPh sb="0" eb="2">
      <t>アンダ</t>
    </rPh>
    <rPh sb="3" eb="5">
      <t>ダスウ</t>
    </rPh>
    <phoneticPr fontId="2"/>
  </si>
  <si>
    <t>安打比率</t>
    <rPh sb="0" eb="4">
      <t>アンダヒリツ</t>
    </rPh>
    <phoneticPr fontId="2"/>
  </si>
  <si>
    <t>打者</t>
    <rPh sb="0" eb="2">
      <t>ダシャ</t>
    </rPh>
    <phoneticPr fontId="2"/>
  </si>
  <si>
    <t>計算方法</t>
    <rPh sb="0" eb="4">
      <t>ケイサンホウホウ</t>
    </rPh>
    <phoneticPr fontId="2"/>
  </si>
  <si>
    <t>内容</t>
    <rPh sb="0" eb="2">
      <t>ナイヨウ</t>
    </rPh>
    <phoneticPr fontId="2"/>
  </si>
  <si>
    <t>指標名</t>
    <rPh sb="0" eb="2">
      <t>シヒョウ</t>
    </rPh>
    <rPh sb="2" eb="3">
      <t>メイ</t>
    </rPh>
    <phoneticPr fontId="2"/>
  </si>
  <si>
    <t>RC/(打数ー安打＋盗塁死＋犠打＋併殺)×２７
　RC＝((2.4×C＋A)×(３×C＋B)/(９×C))ー０．９×C
　　A＝安打＋四球＋死球ー盗塁死ー併殺
　　B=塁打＋０．２６×(四球＋死球)＋０．５３×犠打＋０．６４×盗塁ー０．０３×三振
　　C＝打数＋四球＋死球＋犠打　</t>
    <rPh sb="4" eb="6">
      <t>ダスウ</t>
    </rPh>
    <rPh sb="7" eb="9">
      <t>アンダ</t>
    </rPh>
    <rPh sb="10" eb="13">
      <t>トウルイシ</t>
    </rPh>
    <rPh sb="14" eb="16">
      <t>ギダ</t>
    </rPh>
    <rPh sb="17" eb="19">
      <t>ヘイサツ</t>
    </rPh>
    <rPh sb="64" eb="66">
      <t>アンダ</t>
    </rPh>
    <rPh sb="67" eb="69">
      <t>シキュウ</t>
    </rPh>
    <rPh sb="70" eb="72">
      <t>シキュウ</t>
    </rPh>
    <rPh sb="73" eb="76">
      <t>トウルイシ</t>
    </rPh>
    <rPh sb="77" eb="79">
      <t>ヘイサツ</t>
    </rPh>
    <rPh sb="84" eb="86">
      <t>ルイダ</t>
    </rPh>
    <rPh sb="93" eb="95">
      <t>シキュウ</t>
    </rPh>
    <rPh sb="96" eb="98">
      <t>シキュウ</t>
    </rPh>
    <rPh sb="105" eb="107">
      <t>ギダ</t>
    </rPh>
    <rPh sb="113" eb="115">
      <t>トウルイ</t>
    </rPh>
    <rPh sb="121" eb="123">
      <t>サンシン</t>
    </rPh>
    <rPh sb="128" eb="130">
      <t>ダスウ</t>
    </rPh>
    <rPh sb="131" eb="133">
      <t>シキュウ</t>
    </rPh>
    <rPh sb="134" eb="136">
      <t>シキュウ</t>
    </rPh>
    <rPh sb="137" eb="139">
      <t>ギダ</t>
    </rPh>
    <phoneticPr fontId="2"/>
  </si>
  <si>
    <t>(自責点×7)/投球回</t>
    <rPh sb="1" eb="4">
      <t>ジセキテン</t>
    </rPh>
    <rPh sb="8" eb="11">
      <t>トウキュウカイ</t>
    </rPh>
    <phoneticPr fontId="2"/>
  </si>
  <si>
    <t>奪三振×7/投球回</t>
    <rPh sb="0" eb="3">
      <t>ダツサンシン</t>
    </rPh>
    <rPh sb="6" eb="9">
      <t>トウキュウカイ</t>
    </rPh>
    <phoneticPr fontId="2"/>
  </si>
  <si>
    <t>7イニング当たり、許した平均自責点</t>
    <rPh sb="5" eb="6">
      <t>ア</t>
    </rPh>
    <rPh sb="9" eb="10">
      <t>ユル</t>
    </rPh>
    <rPh sb="12" eb="17">
      <t>ヘイキンジセキテン</t>
    </rPh>
    <phoneticPr fontId="2"/>
  </si>
  <si>
    <t>7イニング当たりの奪三振数</t>
    <rPh sb="5" eb="6">
      <t>ア</t>
    </rPh>
    <rPh sb="9" eb="12">
      <t>ダツサンシン</t>
    </rPh>
    <rPh sb="12" eb="13">
      <t>スウ</t>
    </rPh>
    <phoneticPr fontId="2"/>
  </si>
  <si>
    <t>安井理一郎</t>
  </si>
  <si>
    <t>福岡舞鶴</t>
  </si>
  <si>
    <t>堀江崇太</t>
    <rPh sb="0" eb="2">
      <t>ホリエ</t>
    </rPh>
    <rPh sb="2" eb="4">
      <t>ソウタ</t>
    </rPh>
    <phoneticPr fontId="2"/>
  </si>
  <si>
    <t>山内惇寛</t>
    <rPh sb="0" eb="2">
      <t>ヤマウチ</t>
    </rPh>
    <rPh sb="2" eb="3">
      <t>ジュン</t>
    </rPh>
    <rPh sb="3" eb="4">
      <t>ヒロシ</t>
    </rPh>
    <phoneticPr fontId="2"/>
  </si>
  <si>
    <t>練習試合</t>
    <rPh sb="0" eb="4">
      <t>レンシュウジアイ</t>
    </rPh>
    <phoneticPr fontId="2"/>
  </si>
  <si>
    <t>三萩野球場</t>
    <rPh sb="0" eb="5">
      <t>ミハギノキュウジョウ</t>
    </rPh>
    <phoneticPr fontId="2"/>
  </si>
  <si>
    <t>△</t>
  </si>
  <si>
    <t>打
席</t>
    <rPh sb="0" eb="1">
      <t>ダ</t>
    </rPh>
    <rPh sb="2" eb="3">
      <t>セキ</t>
    </rPh>
    <phoneticPr fontId="2"/>
  </si>
  <si>
    <t>得点圏
打率</t>
    <rPh sb="0" eb="3">
      <t>トクテンケン</t>
    </rPh>
    <rPh sb="4" eb="6">
      <t>ダリツ</t>
    </rPh>
    <phoneticPr fontId="2"/>
  </si>
  <si>
    <t>盗塁
成功率</t>
    <rPh sb="0" eb="2">
      <t>トウルイ</t>
    </rPh>
    <rPh sb="3" eb="6">
      <t>セイコウリツ</t>
    </rPh>
    <phoneticPr fontId="2"/>
  </si>
  <si>
    <t>打
数</t>
    <rPh sb="0" eb="1">
      <t>ダ</t>
    </rPh>
    <rPh sb="2" eb="3">
      <t>スウ</t>
    </rPh>
    <phoneticPr fontId="2"/>
  </si>
  <si>
    <t>安
打</t>
    <rPh sb="0" eb="1">
      <t>ヤス</t>
    </rPh>
    <rPh sb="2" eb="3">
      <t>ダ</t>
    </rPh>
    <phoneticPr fontId="2"/>
  </si>
  <si>
    <t>得
点
圏
打
数</t>
    <rPh sb="0" eb="1">
      <t>トク</t>
    </rPh>
    <rPh sb="2" eb="3">
      <t>テン</t>
    </rPh>
    <rPh sb="4" eb="5">
      <t>ケン</t>
    </rPh>
    <rPh sb="6" eb="7">
      <t>ダ</t>
    </rPh>
    <rPh sb="8" eb="9">
      <t>スウ</t>
    </rPh>
    <phoneticPr fontId="2"/>
  </si>
  <si>
    <t>得
点
圏
安
打</t>
    <rPh sb="0" eb="1">
      <t>トク</t>
    </rPh>
    <rPh sb="2" eb="3">
      <t>テン</t>
    </rPh>
    <rPh sb="4" eb="5">
      <t>ケン</t>
    </rPh>
    <rPh sb="6" eb="7">
      <t>ヤス</t>
    </rPh>
    <rPh sb="8" eb="9">
      <t>ダ</t>
    </rPh>
    <phoneticPr fontId="2"/>
  </si>
  <si>
    <t>一
塁
打</t>
    <rPh sb="0" eb="1">
      <t>イチ</t>
    </rPh>
    <rPh sb="2" eb="3">
      <t>ルイ</t>
    </rPh>
    <rPh sb="4" eb="5">
      <t>ダ</t>
    </rPh>
    <phoneticPr fontId="2"/>
  </si>
  <si>
    <t>二
塁
打</t>
    <rPh sb="0" eb="1">
      <t>ニ</t>
    </rPh>
    <rPh sb="2" eb="3">
      <t>ルイ</t>
    </rPh>
    <rPh sb="4" eb="5">
      <t>ダ</t>
    </rPh>
    <phoneticPr fontId="2"/>
  </si>
  <si>
    <t>三
塁
打</t>
    <rPh sb="0" eb="1">
      <t>サン</t>
    </rPh>
    <rPh sb="2" eb="3">
      <t>ルイ</t>
    </rPh>
    <rPh sb="4" eb="5">
      <t>ダ</t>
    </rPh>
    <phoneticPr fontId="2"/>
  </si>
  <si>
    <t>本
塁
打</t>
    <rPh sb="0" eb="1">
      <t>ホン</t>
    </rPh>
    <rPh sb="2" eb="3">
      <t>ルイ</t>
    </rPh>
    <rPh sb="4" eb="5">
      <t>ダ</t>
    </rPh>
    <phoneticPr fontId="2"/>
  </si>
  <si>
    <t>エ
ラ
ー
関
連</t>
    <rPh sb="6" eb="7">
      <t>セキ</t>
    </rPh>
    <rPh sb="8" eb="9">
      <t>レン</t>
    </rPh>
    <phoneticPr fontId="2"/>
  </si>
  <si>
    <t>打
点</t>
    <rPh sb="0" eb="1">
      <t>ダ</t>
    </rPh>
    <rPh sb="2" eb="3">
      <t>テン</t>
    </rPh>
    <phoneticPr fontId="2"/>
  </si>
  <si>
    <t>得
点</t>
    <rPh sb="0" eb="1">
      <t>トク</t>
    </rPh>
    <rPh sb="2" eb="3">
      <t>テン</t>
    </rPh>
    <phoneticPr fontId="2"/>
  </si>
  <si>
    <t>三
振</t>
    <rPh sb="0" eb="1">
      <t>サン</t>
    </rPh>
    <rPh sb="2" eb="3">
      <t>シン</t>
    </rPh>
    <phoneticPr fontId="2"/>
  </si>
  <si>
    <t>四
球</t>
    <rPh sb="0" eb="1">
      <t>ヨン</t>
    </rPh>
    <rPh sb="2" eb="3">
      <t>キュウ</t>
    </rPh>
    <phoneticPr fontId="2"/>
  </si>
  <si>
    <t>死
球</t>
    <rPh sb="0" eb="1">
      <t>シ</t>
    </rPh>
    <rPh sb="2" eb="3">
      <t>キュウ</t>
    </rPh>
    <phoneticPr fontId="2"/>
  </si>
  <si>
    <t>併
殺</t>
    <rPh sb="0" eb="1">
      <t>ヘイ</t>
    </rPh>
    <rPh sb="2" eb="3">
      <t>サツ</t>
    </rPh>
    <phoneticPr fontId="2"/>
  </si>
  <si>
    <t>盗
塁</t>
    <rPh sb="0" eb="1">
      <t>ト</t>
    </rPh>
    <rPh sb="2" eb="3">
      <t>ルイ</t>
    </rPh>
    <phoneticPr fontId="2"/>
  </si>
  <si>
    <t>盗
塁
死</t>
    <rPh sb="0" eb="1">
      <t>ト</t>
    </rPh>
    <rPh sb="2" eb="3">
      <t>ルイ</t>
    </rPh>
    <rPh sb="4" eb="5">
      <t>シ</t>
    </rPh>
    <phoneticPr fontId="2"/>
  </si>
  <si>
    <t>犠
打</t>
    <rPh sb="0" eb="1">
      <t>ギ</t>
    </rPh>
    <rPh sb="2" eb="3">
      <t>ダ</t>
    </rPh>
    <phoneticPr fontId="2"/>
  </si>
  <si>
    <t>犠
飛</t>
    <rPh sb="0" eb="1">
      <t>ギ</t>
    </rPh>
    <rPh sb="2" eb="3">
      <t>ヒ</t>
    </rPh>
    <phoneticPr fontId="2"/>
  </si>
  <si>
    <t>刺
殺</t>
    <rPh sb="0" eb="1">
      <t>トゲ</t>
    </rPh>
    <rPh sb="2" eb="3">
      <t>サツ</t>
    </rPh>
    <phoneticPr fontId="2"/>
  </si>
  <si>
    <t>捕
殺</t>
    <rPh sb="0" eb="1">
      <t>ト</t>
    </rPh>
    <rPh sb="2" eb="3">
      <t>サツ</t>
    </rPh>
    <phoneticPr fontId="2"/>
  </si>
  <si>
    <t>失
策</t>
    <rPh sb="0" eb="1">
      <t>シツ</t>
    </rPh>
    <rPh sb="2" eb="3">
      <t>サク</t>
    </rPh>
    <phoneticPr fontId="2"/>
  </si>
  <si>
    <t>守
備
機
会</t>
    <rPh sb="0" eb="1">
      <t>マモル</t>
    </rPh>
    <rPh sb="2" eb="3">
      <t>ビ</t>
    </rPh>
    <rPh sb="4" eb="5">
      <t>キ</t>
    </rPh>
    <rPh sb="6" eb="7">
      <t>カイ</t>
    </rPh>
    <phoneticPr fontId="2"/>
  </si>
  <si>
    <t>中村学園大学</t>
    <rPh sb="0" eb="6">
      <t>ナカムラガクエンダイガク</t>
    </rPh>
    <phoneticPr fontId="2"/>
  </si>
  <si>
    <t>九州大学</t>
    <rPh sb="0" eb="4">
      <t>キュウシュウダイガク</t>
    </rPh>
    <phoneticPr fontId="2"/>
  </si>
  <si>
    <t>山下湊</t>
    <rPh sb="0" eb="2">
      <t>ヤマシタ</t>
    </rPh>
    <rPh sb="2" eb="3">
      <t>ミナト</t>
    </rPh>
    <phoneticPr fontId="2"/>
  </si>
  <si>
    <t>和田侑也</t>
    <rPh sb="0" eb="2">
      <t>ワダ</t>
    </rPh>
    <rPh sb="2" eb="4">
      <t>ユウヤ</t>
    </rPh>
    <phoneticPr fontId="2"/>
  </si>
  <si>
    <t>列1</t>
  </si>
  <si>
    <t>列2</t>
  </si>
  <si>
    <t>列3</t>
  </si>
  <si>
    <t>列4</t>
  </si>
  <si>
    <t>列5</t>
  </si>
  <si>
    <t>列6</t>
  </si>
  <si>
    <t>福岡工業大学</t>
  </si>
  <si>
    <t>西九州大学</t>
  </si>
  <si>
    <t>西日本工業大学</t>
  </si>
  <si>
    <t>九州工業大学</t>
  </si>
  <si>
    <t>×</t>
  </si>
  <si>
    <t>友野水葉</t>
  </si>
  <si>
    <t>東筑</t>
  </si>
  <si>
    <t>清水大基</t>
  </si>
  <si>
    <t>防府</t>
  </si>
  <si>
    <t>岩本佳大</t>
  </si>
  <si>
    <t>鹿児島南</t>
  </si>
  <si>
    <t>若菜光</t>
  </si>
  <si>
    <t>明善</t>
  </si>
  <si>
    <t>我那覇公二郎</t>
  </si>
  <si>
    <t>興南</t>
  </si>
  <si>
    <t>汐田藍斗</t>
  </si>
  <si>
    <t>熊本第二</t>
  </si>
  <si>
    <t>福本陽介</t>
  </si>
  <si>
    <t>自由ケ丘</t>
  </si>
  <si>
    <t>陣内勇冴</t>
  </si>
  <si>
    <t>済々黌</t>
  </si>
  <si>
    <t>坂元勇斗</t>
  </si>
  <si>
    <t>下関西</t>
  </si>
  <si>
    <t>片山大翔</t>
  </si>
  <si>
    <t>敬愛</t>
  </si>
  <si>
    <t>九国大付</t>
  </si>
  <si>
    <t>山内惇寛</t>
  </si>
  <si>
    <t>東福岡</t>
  </si>
  <si>
    <t>森奨真</t>
  </si>
  <si>
    <t>戸畑</t>
  </si>
  <si>
    <t>山下湊</t>
  </si>
  <si>
    <t>長崎北</t>
  </si>
  <si>
    <t>山内治樹</t>
  </si>
  <si>
    <t>岡山朝日</t>
  </si>
  <si>
    <t>簾圭智</t>
  </si>
  <si>
    <t>赤星圭一</t>
  </si>
  <si>
    <t>近藤大尭</t>
  </si>
  <si>
    <t>朝倉</t>
  </si>
  <si>
    <t>有村陸</t>
  </si>
  <si>
    <t>新宮</t>
  </si>
  <si>
    <t>堀江崇太</t>
  </si>
  <si>
    <t>藤枝東</t>
  </si>
  <si>
    <t>渡邊琥心</t>
  </si>
  <si>
    <t>大阪桐蔭</t>
  </si>
  <si>
    <t>和田侑也</t>
  </si>
  <si>
    <t>嘉穂</t>
  </si>
  <si>
    <t>合計</t>
    <rPh sb="0" eb="2">
      <t>ゴウケイ</t>
    </rPh>
    <phoneticPr fontId="2"/>
  </si>
  <si>
    <t>北九州Oruris</t>
    <rPh sb="0" eb="3">
      <t>キタキュウシュウ</t>
    </rPh>
    <phoneticPr fontId="2"/>
  </si>
  <si>
    <t>吉田グラウンド</t>
    <rPh sb="0" eb="2">
      <t>ヨシダ</t>
    </rPh>
    <phoneticPr fontId="2"/>
  </si>
  <si>
    <t>試合数</t>
    <rPh sb="0" eb="3">
      <t>シアイスウ</t>
    </rPh>
    <phoneticPr fontId="2"/>
  </si>
  <si>
    <t>指定</t>
    <rPh sb="0" eb="2">
      <t>シテイ</t>
    </rPh>
    <phoneticPr fontId="2"/>
  </si>
  <si>
    <t>シート名</t>
    <rPh sb="3" eb="4">
      <t>メイ</t>
    </rPh>
    <phoneticPr fontId="2"/>
  </si>
  <si>
    <t>結果</t>
    <rPh sb="0" eb="2">
      <t>ケッカ</t>
    </rPh>
    <phoneticPr fontId="2"/>
  </si>
  <si>
    <t>種類</t>
    <rPh sb="0" eb="2">
      <t>シュルイ</t>
    </rPh>
    <phoneticPr fontId="2"/>
  </si>
  <si>
    <t>PC推奨</t>
    <rPh sb="2" eb="4">
      <t>スイショウ</t>
    </rPh>
    <phoneticPr fontId="2"/>
  </si>
  <si>
    <t>選手名2</t>
    <rPh sb="0" eb="4">
      <t>センシュメイ2</t>
    </rPh>
    <phoneticPr fontId="2"/>
  </si>
  <si>
    <t>背2</t>
    <rPh sb="0" eb="2">
      <t>セ2</t>
    </rPh>
    <phoneticPr fontId="2"/>
  </si>
  <si>
    <t>列8</t>
  </si>
  <si>
    <t>列9</t>
  </si>
  <si>
    <t>列10</t>
  </si>
  <si>
    <t>列11</t>
  </si>
  <si>
    <t>列12</t>
  </si>
  <si>
    <t>列13</t>
  </si>
  <si>
    <t>2023.10.14北九州市立</t>
  </si>
  <si>
    <t>1-2</t>
  </si>
  <si>
    <t>公式戦</t>
  </si>
  <si>
    <t>2023.10.21九州産業</t>
  </si>
  <si>
    <t>5-1</t>
  </si>
  <si>
    <t>2023.10.21九州共立</t>
  </si>
  <si>
    <t>16-0</t>
  </si>
  <si>
    <t>2024.4.13北九州市立</t>
  </si>
  <si>
    <t>0-1</t>
  </si>
  <si>
    <t>2024.4.20九州産業</t>
  </si>
  <si>
    <t>8-0</t>
  </si>
  <si>
    <t>2024.5.3北九州市立②</t>
  </si>
  <si>
    <t>2-3</t>
  </si>
  <si>
    <t>練習試合</t>
  </si>
  <si>
    <t>2024.5.3北九州市立①</t>
  </si>
  <si>
    <t>2-2</t>
  </si>
  <si>
    <t>2024.5.25中村学園</t>
  </si>
  <si>
    <t>2-5</t>
  </si>
  <si>
    <t>2024.5.25九州</t>
  </si>
  <si>
    <t>4-4</t>
  </si>
  <si>
    <t>2024.6.15福岡工業</t>
  </si>
  <si>
    <t>4-6</t>
  </si>
  <si>
    <t>2024.6.16西九州</t>
  </si>
  <si>
    <t>0-4</t>
  </si>
  <si>
    <t>2024.6.16西日本工業</t>
  </si>
  <si>
    <t>1-9</t>
  </si>
  <si>
    <t>2024.7.6北九州Oruris</t>
  </si>
  <si>
    <t>14-6</t>
  </si>
  <si>
    <t>九州大学グラウンド</t>
    <rPh sb="0" eb="4">
      <t>キュウシュウダイガク</t>
    </rPh>
    <phoneticPr fontId="2"/>
  </si>
  <si>
    <t>2024.10.12九州</t>
  </si>
  <si>
    <t>1-5</t>
  </si>
  <si>
    <t>藤枝稜央</t>
    <rPh sb="3" eb="4">
      <t>オウ</t>
    </rPh>
    <phoneticPr fontId="2"/>
  </si>
  <si>
    <t>2024.10.26福岡工業</t>
  </si>
  <si>
    <t>2024.10.26北九州市立</t>
  </si>
  <si>
    <t>（2025年）</t>
    <rPh sb="5" eb="6">
      <t>ネン</t>
    </rPh>
    <phoneticPr fontId="2"/>
  </si>
  <si>
    <t>Gold Nuts</t>
  </si>
  <si>
    <t>Gold Nuts</t>
    <phoneticPr fontId="2"/>
  </si>
  <si>
    <t>2025.2.22Gold Nuts</t>
  </si>
  <si>
    <t>0-5</t>
  </si>
  <si>
    <t>DH</t>
  </si>
  <si>
    <t>1-1</t>
  </si>
  <si>
    <t>8-2</t>
  </si>
  <si>
    <t>2025.2.27九州工業大学（戸畑）①</t>
  </si>
  <si>
    <t>2025.2.27九州工業大学（戸畑）②</t>
  </si>
  <si>
    <t>九州工業大学（戸畑）</t>
    <rPh sb="0" eb="6">
      <t>キュウシュウコウギョウダイガク</t>
    </rPh>
    <rPh sb="7" eb="9">
      <t>トバタ</t>
    </rPh>
    <phoneticPr fontId="2"/>
  </si>
  <si>
    <t>列7</t>
    <phoneticPr fontId="2"/>
  </si>
  <si>
    <t>5-4</t>
  </si>
  <si>
    <t>4-3</t>
  </si>
  <si>
    <t>3勝13負3分</t>
  </si>
  <si>
    <t>試
合</t>
    <rPh sb="0" eb="1">
      <t>タメシ</t>
    </rPh>
    <rPh sb="2" eb="3">
      <t>ゴウ</t>
    </rPh>
    <phoneticPr fontId="2"/>
  </si>
  <si>
    <t>勝
利</t>
    <rPh sb="0" eb="1">
      <t>マサル</t>
    </rPh>
    <rPh sb="2" eb="3">
      <t>トシ</t>
    </rPh>
    <phoneticPr fontId="2"/>
  </si>
  <si>
    <t>敗
北</t>
    <rPh sb="0" eb="1">
      <t>ハイ</t>
    </rPh>
    <rPh sb="2" eb="3">
      <t>キタ</t>
    </rPh>
    <phoneticPr fontId="2"/>
  </si>
  <si>
    <t>セ
ー
ブ</t>
    <phoneticPr fontId="2"/>
  </si>
  <si>
    <t>完
投</t>
    <rPh sb="0" eb="1">
      <t>カン</t>
    </rPh>
    <rPh sb="2" eb="3">
      <t>トウ</t>
    </rPh>
    <phoneticPr fontId="2"/>
  </si>
  <si>
    <t>完
封</t>
    <rPh sb="0" eb="1">
      <t>カン</t>
    </rPh>
    <rPh sb="2" eb="3">
      <t>ホウ</t>
    </rPh>
    <phoneticPr fontId="2"/>
  </si>
  <si>
    <t>回
数</t>
    <rPh sb="0" eb="1">
      <t>カイ</t>
    </rPh>
    <rPh sb="2" eb="3">
      <t>スウ</t>
    </rPh>
    <phoneticPr fontId="2"/>
  </si>
  <si>
    <t>球
数</t>
    <rPh sb="0" eb="1">
      <t>タマ</t>
    </rPh>
    <rPh sb="2" eb="3">
      <t>カズ</t>
    </rPh>
    <phoneticPr fontId="2"/>
  </si>
  <si>
    <t>失
点</t>
    <rPh sb="0" eb="1">
      <t>シツ</t>
    </rPh>
    <rPh sb="2" eb="3">
      <t>テン</t>
    </rPh>
    <phoneticPr fontId="2"/>
  </si>
  <si>
    <t>自
責
点</t>
    <rPh sb="0" eb="1">
      <t>ジ</t>
    </rPh>
    <rPh sb="2" eb="3">
      <t>セキ</t>
    </rPh>
    <rPh sb="4" eb="5">
      <t>テン</t>
    </rPh>
    <phoneticPr fontId="2"/>
  </si>
  <si>
    <t>奪
三
振</t>
    <phoneticPr fontId="2"/>
  </si>
  <si>
    <t>与
四
球</t>
    <rPh sb="0" eb="1">
      <t>ヨ</t>
    </rPh>
    <rPh sb="2" eb="3">
      <t>ヨン</t>
    </rPh>
    <rPh sb="4" eb="5">
      <t>キュウ</t>
    </rPh>
    <phoneticPr fontId="2"/>
  </si>
  <si>
    <t>与
死
球</t>
    <rPh sb="0" eb="1">
      <t>ヨ</t>
    </rPh>
    <rPh sb="2" eb="3">
      <t>シ</t>
    </rPh>
    <rPh sb="4" eb="5">
      <t>キュウ</t>
    </rPh>
    <phoneticPr fontId="2"/>
  </si>
  <si>
    <t>犠
打
飛</t>
    <rPh sb="0" eb="1">
      <t>ギ</t>
    </rPh>
    <rPh sb="2" eb="3">
      <t>ダ</t>
    </rPh>
    <rPh sb="4" eb="5">
      <t>ヒ</t>
    </rPh>
    <phoneticPr fontId="2"/>
  </si>
  <si>
    <t>被
安
打</t>
    <rPh sb="0" eb="1">
      <t>ヒ</t>
    </rPh>
    <rPh sb="2" eb="3">
      <t>ヤス</t>
    </rPh>
    <rPh sb="4" eb="5">
      <t>ダ</t>
    </rPh>
    <phoneticPr fontId="2"/>
  </si>
  <si>
    <t>被
本
塁
打</t>
    <rPh sb="0" eb="1">
      <t>ヒ</t>
    </rPh>
    <rPh sb="2" eb="3">
      <t>ホン</t>
    </rPh>
    <rPh sb="4" eb="5">
      <t>ルイ</t>
    </rPh>
    <rPh sb="6" eb="7">
      <t>ダ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</si>
</sst>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年&quot;m&quot;月&quot;d&quot;日&quot;;@"/>
    <numFmt numFmtId="177" formatCode="0.0"/>
    <numFmt numFmtId="178" formatCode="0.000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UD デジタル 教科書体 NK-R"/>
      <family val="1"/>
      <charset val="128"/>
    </font>
    <font>
      <sz val="6"/>
      <name val="游ゴシック"/>
      <family val="2"/>
      <charset val="128"/>
      <scheme val="minor"/>
    </font>
    <font>
      <sz val="11"/>
      <color rgb="FFFF0000"/>
      <name val="UD デジタル 教科書体 NK-R"/>
      <family val="1"/>
      <charset val="128"/>
    </font>
    <font>
      <sz val="6"/>
      <color theme="1"/>
      <name val="UD デジタル 教科書体 NK-R"/>
      <family val="1"/>
      <charset val="128"/>
    </font>
    <font>
      <sz val="11"/>
      <color rgb="FF00B050"/>
      <name val="UD デジタル 教科書体 NK-R"/>
      <family val="1"/>
      <charset val="128"/>
    </font>
    <font>
      <b/>
      <sz val="11"/>
      <color rgb="FF7030A0"/>
      <name val="UD デジタル 教科書体 NK-R"/>
      <family val="1"/>
      <charset val="128"/>
    </font>
    <font>
      <b/>
      <sz val="11"/>
      <name val="UD デジタル 教科書体 NK-R"/>
      <family val="1"/>
      <charset val="128"/>
    </font>
    <font>
      <sz val="11"/>
      <name val="UD デジタル 教科書体 NK-R"/>
      <family val="1"/>
      <charset val="128"/>
    </font>
    <font>
      <sz val="11"/>
      <color rgb="FF000000"/>
      <name val="游ゴシック"/>
      <family val="3"/>
      <charset val="128"/>
    </font>
    <font>
      <sz val="11"/>
      <color rgb="FF000000"/>
      <name val="UD デジタル 教科書体 NK-R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20" fontId="1" fillId="3" borderId="3" xfId="0" applyNumberFormat="1" applyFont="1" applyFill="1" applyBorder="1" applyAlignment="1">
      <alignment horizontal="right" vertical="center"/>
    </xf>
    <xf numFmtId="0" fontId="1" fillId="0" borderId="0" xfId="0" applyFont="1" applyAlignment="1">
      <alignment vertical="center" wrapText="1"/>
    </xf>
    <xf numFmtId="0" fontId="1" fillId="4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1" fillId="3" borderId="2" xfId="0" applyFont="1" applyFill="1" applyBorder="1" applyAlignment="1">
      <alignment horizontal="center" vertical="center"/>
    </xf>
    <xf numFmtId="177" fontId="1" fillId="3" borderId="1" xfId="0" applyNumberFormat="1" applyFont="1" applyFill="1" applyBorder="1">
      <alignment vertical="center"/>
    </xf>
    <xf numFmtId="177" fontId="1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0" xfId="0" applyFont="1" applyBorder="1" applyAlignment="1">
      <alignment horizontal="right" vertical="center"/>
    </xf>
    <xf numFmtId="0" fontId="4" fillId="0" borderId="10" xfId="0" applyFont="1" applyBorder="1">
      <alignment vertical="center"/>
    </xf>
    <xf numFmtId="0" fontId="4" fillId="0" borderId="10" xfId="0" applyFont="1" applyBorder="1" applyAlignment="1">
      <alignment vertical="center" wrapText="1"/>
    </xf>
    <xf numFmtId="0" fontId="4" fillId="0" borderId="9" xfId="0" applyFont="1" applyBorder="1" applyAlignment="1">
      <alignment horizontal="right" vertical="center"/>
    </xf>
    <xf numFmtId="0" fontId="4" fillId="0" borderId="9" xfId="0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1" fillId="0" borderId="4" xfId="0" applyFont="1" applyBorder="1">
      <alignment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77" fontId="1" fillId="0" borderId="1" xfId="0" applyNumberFormat="1" applyFont="1" applyBorder="1" applyAlignment="1">
      <alignment horizontal="right" vertical="center"/>
    </xf>
    <xf numFmtId="178" fontId="1" fillId="0" borderId="1" xfId="0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" fillId="0" borderId="1" xfId="0" applyNumberFormat="1" applyFont="1" applyBorder="1" applyAlignment="1">
      <alignment horizontal="center" vertical="center"/>
    </xf>
    <xf numFmtId="178" fontId="1" fillId="0" borderId="9" xfId="0" applyNumberFormat="1" applyFont="1" applyBorder="1" applyAlignment="1">
      <alignment horizontal="center" vertical="center" wrapText="1"/>
    </xf>
    <xf numFmtId="178" fontId="1" fillId="0" borderId="1" xfId="0" applyNumberFormat="1" applyFont="1" applyBorder="1" applyAlignment="1">
      <alignment vertical="center" wrapText="1"/>
    </xf>
    <xf numFmtId="178" fontId="1" fillId="0" borderId="1" xfId="0" applyNumberFormat="1" applyFont="1" applyBorder="1" applyAlignment="1">
      <alignment horizontal="center" vertical="center" wrapText="1"/>
    </xf>
    <xf numFmtId="178" fontId="1" fillId="5" borderId="0" xfId="0" applyNumberFormat="1" applyFont="1" applyFill="1">
      <alignment vertical="center"/>
    </xf>
    <xf numFmtId="178" fontId="1" fillId="0" borderId="0" xfId="0" applyNumberFormat="1" applyFont="1">
      <alignment vertical="center"/>
    </xf>
    <xf numFmtId="178" fontId="1" fillId="0" borderId="14" xfId="0" applyNumberFormat="1" applyFont="1" applyBorder="1">
      <alignment vertical="center"/>
    </xf>
    <xf numFmtId="177" fontId="1" fillId="0" borderId="0" xfId="0" applyNumberFormat="1" applyFont="1" applyAlignment="1">
      <alignment horizontal="right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8" fontId="7" fillId="0" borderId="0" xfId="0" applyNumberFormat="1" applyFont="1" applyAlignment="1">
      <alignment vertical="center" wrapText="1"/>
    </xf>
    <xf numFmtId="0" fontId="8" fillId="0" borderId="0" xfId="0" applyFont="1">
      <alignment vertical="center"/>
    </xf>
    <xf numFmtId="178" fontId="7" fillId="0" borderId="0" xfId="0" applyNumberFormat="1" applyFont="1">
      <alignment vertical="center"/>
    </xf>
    <xf numFmtId="0" fontId="10" fillId="0" borderId="1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5" borderId="0" xfId="0" applyFont="1" applyFill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/>
    </xf>
    <xf numFmtId="0" fontId="1" fillId="0" borderId="17" xfId="0" applyFont="1" applyBorder="1">
      <alignment vertical="center"/>
    </xf>
    <xf numFmtId="0" fontId="1" fillId="0" borderId="8" xfId="0" applyFont="1" applyBorder="1">
      <alignment vertical="center"/>
    </xf>
    <xf numFmtId="178" fontId="1" fillId="0" borderId="8" xfId="0" applyNumberFormat="1" applyFont="1" applyBorder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16" xfId="0" applyFont="1" applyBorder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>
      <alignment vertical="center"/>
    </xf>
    <xf numFmtId="0" fontId="10" fillId="0" borderId="13" xfId="0" applyFont="1" applyBorder="1">
      <alignment vertical="center"/>
    </xf>
    <xf numFmtId="0" fontId="10" fillId="0" borderId="3" xfId="0" applyFont="1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20" fontId="1" fillId="3" borderId="2" xfId="0" applyNumberFormat="1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176" fontId="1" fillId="3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2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7" formatCode="0.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alignment horizontal="left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178" formatCode="0.0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UD デジタル 教科書体 NK-R"/>
        <family val="1"/>
        <charset val="128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デジタル 教科書体 NK-R"/>
        <family val="1"/>
        <charset val="12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試合一覧更新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0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成績更新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7B24DE-4F3A-4E53-8199-4CB5FF971215}" name="テーブル14" displayName="テーブル14" ref="A1:AO24" totalsRowShown="0" headerRowDxfId="88" dataDxfId="86" headerRowBorderDxfId="87" tableBorderDxfId="85" totalsRowBorderDxfId="84">
  <autoFilter ref="A1:AO24" xr:uid="{CA8E6A2E-D82C-467C-81D2-3FD50EF6053A}"/>
  <sortState xmlns:xlrd2="http://schemas.microsoft.com/office/spreadsheetml/2017/richdata2" ref="A2:AO24">
    <sortCondition ref="A1:A24"/>
  </sortState>
  <tableColumns count="41">
    <tableColumn id="1" xr3:uid="{F9F79020-4B25-4696-A315-7C7A41821363}" name="背" dataDxfId="83">
      <calculatedColumnFormula>VLOOKUP(B2,データ!A:B,2,FALSE)</calculatedColumnFormula>
    </tableColumn>
    <tableColumn id="2" xr3:uid="{DD9100CA-935F-4CE4-BFB4-9EFE795A5E45}" name="選手名" dataDxfId="82"/>
    <tableColumn id="3" xr3:uid="{69099395-B586-4D12-B4B8-E04A14E3E23C}" name="打率" dataDxfId="81">
      <calculatedColumnFormula>IFERROR(R2/Q2,"")</calculatedColumnFormula>
    </tableColumn>
    <tableColumn id="4" xr3:uid="{A021B743-299D-42CE-83F8-A274FC9E3FDE}" name="得点圏_x000a_打率" dataDxfId="80">
      <calculatedColumnFormula>IFERROR(T2/S2,"")</calculatedColumnFormula>
    </tableColumn>
    <tableColumn id="5" xr3:uid="{7A2A6796-15B0-460D-901F-9EB249616DF2}" name="出塁率" dataDxfId="79">
      <calculatedColumnFormula>IFERROR((R2+AC2+AD2)/(Q2+AC2+AD2+AI2),"")</calculatedColumnFormula>
    </tableColumn>
    <tableColumn id="6" xr3:uid="{59AD8C38-7FB9-4893-A1E4-3C0BE4FE456D}" name="長打率" dataDxfId="78">
      <calculatedColumnFormula>IFERROR((U2+V2*2+W2*3+X2*4)/Q2,"")</calculatedColumnFormula>
    </tableColumn>
    <tableColumn id="7" xr3:uid="{BF2B8D71-B93E-4AAE-B099-1FB9C87605F8}" name="OPS" dataDxfId="77">
      <calculatedColumnFormula>IFERROR(E2+F2,"")</calculatedColumnFormula>
    </tableColumn>
    <tableColumn id="8" xr3:uid="{73329CCB-FE33-491C-ADD2-B72AF211E541}" name="BB/K" dataDxfId="76">
      <calculatedColumnFormula>IFERROR(AC2/AB2,"")</calculatedColumnFormula>
    </tableColumn>
    <tableColumn id="9" xr3:uid="{5F8C3B20-8453-4BAD-B719-5A916BFE877F}" name="盗塁_x000a_成功率" dataDxfId="75">
      <calculatedColumnFormula>IFERROR(AF2/(AF2+AG2),"")</calculatedColumnFormula>
    </tableColumn>
    <tableColumn id="10" xr3:uid="{D1C5C9EB-ACF6-4897-B9D9-A1A296BB41C8}" name="RC27" dataDxfId="74">
      <calculatedColumnFormula>IFERROR(K2/(Q2-R2+AG2+AH2+AE2)*27,"")</calculatedColumnFormula>
    </tableColumn>
    <tableColumn id="11" xr3:uid="{343906E6-AB14-45E5-9171-C62AA6AA94D8}" name="RC" dataDxfId="73">
      <calculatedColumnFormula>((2.4*N2+L2)*(3*N2+M2)/(9*N2))-0.9*N2</calculatedColumnFormula>
    </tableColumn>
    <tableColumn id="12" xr3:uid="{06198AF0-CD6D-491A-A3C7-FDB5091E78D1}" name="A" dataDxfId="72">
      <calculatedColumnFormula>R2+AC2+AD2-AG2-AE2</calculatedColumnFormula>
    </tableColumn>
    <tableColumn id="13" xr3:uid="{7E3FCEDF-9C02-4BD8-9748-F5AA1D73CC77}" name="B" dataDxfId="71">
      <calculatedColumnFormula>(U2+V2*2+W2*3+X2*4)+0.26*(AC2+AD2)+0.53*AH2+0.64*AF2-0.03*AB2</calculatedColumnFormula>
    </tableColumn>
    <tableColumn id="14" xr3:uid="{73A6FC53-3EC2-4B57-A542-606DACA3B9F6}" name="C" dataDxfId="70">
      <calculatedColumnFormula>Q2+AC2+AD2+AH2</calculatedColumnFormula>
    </tableColumn>
    <tableColumn id="15" xr3:uid="{01E572F3-2E8F-417F-BC9A-918F293C3CA7}" name="守備率" dataDxfId="69">
      <calculatedColumnFormula>IFERROR((AJ2+AK2)/AM2,"")</calculatedColumnFormula>
    </tableColumn>
    <tableColumn id="16" xr3:uid="{60398454-C058-4FBB-9E9F-9A1F70ADC72A}" name="打_x000a_席" dataDxfId="68"/>
    <tableColumn id="17" xr3:uid="{5E5F13F5-3D1C-4FA3-A0EF-CC6EFDDCD40A}" name="打_x000a_数" dataDxfId="67"/>
    <tableColumn id="18" xr3:uid="{19AB2A50-244C-491D-B3F1-8886B2FE2090}" name="安_x000a_打" dataDxfId="66"/>
    <tableColumn id="19" xr3:uid="{A01BCA9A-6955-4471-8453-D7FF06308F73}" name="得_x000a_点_x000a_圏_x000a_打_x000a_数" dataDxfId="65"/>
    <tableColumn id="20" xr3:uid="{CE2B752E-E577-4FE0-9B59-26F06DFA8D54}" name="得_x000a_点_x000a_圏_x000a_安_x000a_打" dataDxfId="64"/>
    <tableColumn id="21" xr3:uid="{DC50A68C-B04A-410B-A314-299773B26705}" name="一_x000a_塁_x000a_打" dataDxfId="63"/>
    <tableColumn id="22" xr3:uid="{128DFE83-D84A-4E05-9CE8-8B86FA78131A}" name="二_x000a_塁_x000a_打" dataDxfId="62"/>
    <tableColumn id="23" xr3:uid="{13318273-3228-451C-A66E-6890F91D0BAB}" name="三_x000a_塁_x000a_打" dataDxfId="61"/>
    <tableColumn id="24" xr3:uid="{6AD59520-B7A2-4E37-AB21-0A4EB44A7315}" name="本_x000a_塁_x000a_打" dataDxfId="60"/>
    <tableColumn id="25" xr3:uid="{9B812599-6F72-43F5-BD23-C60C9EDF4554}" name="エ_x000a_ラ_x000a_ー_x000a_関_x000a_連" dataDxfId="59"/>
    <tableColumn id="26" xr3:uid="{0F0C84B8-5C75-4CDB-9896-046607944EA4}" name="打_x000a_点" dataDxfId="58"/>
    <tableColumn id="27" xr3:uid="{736E14C2-42B0-48A5-B2A6-DC36B349EB12}" name="得_x000a_点" dataDxfId="57"/>
    <tableColumn id="28" xr3:uid="{019925C1-0BA6-4877-9858-5E1173909DA3}" name="三_x000a_振" dataDxfId="56"/>
    <tableColumn id="29" xr3:uid="{1204297A-36DD-44A3-AEA0-2B4087E0706F}" name="四_x000a_球" dataDxfId="55"/>
    <tableColumn id="30" xr3:uid="{457A59B9-897D-418C-AAA1-6FDB68FDECEA}" name="死_x000a_球" dataDxfId="54"/>
    <tableColumn id="31" xr3:uid="{44CDDA67-2D38-4841-9D00-3DC76C08109A}" name="併_x000a_殺" dataDxfId="53"/>
    <tableColumn id="32" xr3:uid="{42A36DCB-114C-42C0-B2BF-EC6233E5C9E4}" name="盗_x000a_塁" dataDxfId="52"/>
    <tableColumn id="33" xr3:uid="{C8EE9581-CC64-4CE7-B6B4-79F21E5E2B8C}" name="盗_x000a_塁_x000a_死" dataDxfId="51"/>
    <tableColumn id="34" xr3:uid="{26E5F4BB-56F2-44B3-9DA6-67090D3BD1CA}" name="犠_x000a_打" dataDxfId="50"/>
    <tableColumn id="35" xr3:uid="{728D7D72-0874-48EB-B81C-3954B4349FF8}" name="犠_x000a_飛" dataDxfId="49"/>
    <tableColumn id="36" xr3:uid="{1037953C-1B3B-4340-ADB4-4E144639B361}" name="刺_x000a_殺" dataDxfId="48"/>
    <tableColumn id="37" xr3:uid="{A51DDE39-B6E9-4697-96CC-4A61E79C27B9}" name="捕_x000a_殺" dataDxfId="47"/>
    <tableColumn id="38" xr3:uid="{F838D81A-5783-4371-99AB-1064363A8B17}" name="失_x000a_策" dataDxfId="46"/>
    <tableColumn id="39" xr3:uid="{7FE1C8E2-3BB4-4DF9-B79D-04B239A4BDA9}" name="守_x000a_備_x000a_機_x000a_会" dataDxfId="45">
      <calculatedColumnFormula>IFERROR(IF(SUM(AJ2,AK2,AL2)=0,"",SUM(AJ2,AK2,AL2)),"")</calculatedColumnFormula>
    </tableColumn>
    <tableColumn id="40" xr3:uid="{B26A2427-B414-403F-BF92-B8240947D3F5}" name="選手名2" dataDxfId="44">
      <calculatedColumnFormula>テーブル14[[#This Row],[選手名]]</calculatedColumnFormula>
    </tableColumn>
    <tableColumn id="41" xr3:uid="{B2331A13-0793-4CCA-82D3-E54A7E62CE28}" name="背2" dataDxfId="43">
      <calculatedColumnFormula>テーブル14[[#This Row],[背]]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35FC03-1D07-4D78-824B-D87E00EC7983}" name="テーブル25" displayName="テーブル25" ref="A31:AO54" totalsRowShown="0" headerRowDxfId="42" dataDxfId="41">
  <autoFilter ref="A31:AO54" xr:uid="{0C7B7A71-7942-4C8C-B9C7-5E43C4CB1111}"/>
  <sortState xmlns:xlrd2="http://schemas.microsoft.com/office/spreadsheetml/2017/richdata2" ref="A32:AO54">
    <sortCondition ref="A31:A54"/>
  </sortState>
  <tableColumns count="41">
    <tableColumn id="1" xr3:uid="{5C8BEAEE-8234-4958-AF0D-E4751ED3D8B0}" name="背" dataDxfId="40">
      <calculatedColumnFormula>A2</calculatedColumnFormula>
    </tableColumn>
    <tableColumn id="2" xr3:uid="{C4486191-1FE2-4BF5-BA35-4B25ECA2AB15}" name="選手名" dataDxfId="39">
      <calculatedColumnFormula>B2</calculatedColumnFormula>
    </tableColumn>
    <tableColumn id="3" xr3:uid="{112E2179-F7A3-4425-A41A-4F0FF90BA103}" name="防御率" dataDxfId="38">
      <calculatedColumnFormula>IFERROR((Y32*7)/V32,"")</calculatedColumnFormula>
    </tableColumn>
    <tableColumn id="4" xr3:uid="{55266FFB-769D-4A53-B4A3-90957A85FED0}" name="勝率" dataDxfId="37">
      <calculatedColumnFormula>IFERROR(Q32/(Q32+R32),"")</calculatedColumnFormula>
    </tableColumn>
    <tableColumn id="5" xr3:uid="{F91ACEBA-D178-407B-9012-FD4F0BA88104}" name="被打率" dataDxfId="36">
      <calculatedColumnFormula>IFERROR(AE32/(Z32-AB32-AC32-AD32),"")</calculatedColumnFormula>
    </tableColumn>
    <tableColumn id="6" xr3:uid="{28E09FE0-CCAC-44C8-9CEA-57256AE52242}" name="FIP" dataDxfId="35">
      <calculatedColumnFormula>IFERROR((AF32*13+(AB32+AC32)*3-AA32*2)/(U32+V32)+3.12,"")</calculatedColumnFormula>
    </tableColumn>
    <tableColumn id="7" xr3:uid="{FF65745A-4B3B-4F95-B701-D15B531E1F3A}" name="WHIP" dataDxfId="34">
      <calculatedColumnFormula>IFERROR((AE32+AB32)/V32,"")</calculatedColumnFormula>
    </tableColumn>
    <tableColumn id="8" xr3:uid="{4FC7D3CF-6BF8-4A54-BEB1-028FFD4070F1}" name="K/7" dataDxfId="33">
      <calculatedColumnFormula>IFERROR(AA32*7/V32,"")</calculatedColumnFormula>
    </tableColumn>
    <tableColumn id="9" xr3:uid="{ACED2441-8BAA-4DCB-80B2-C590190570F9}" name="K/BB" dataDxfId="32">
      <calculatedColumnFormula>IFERROR(AA32/AB32,"")</calculatedColumnFormula>
    </tableColumn>
    <tableColumn id="10" xr3:uid="{5DB7B563-238F-4A46-9E04-50E8482AAA88}" name="列1" dataDxfId="31"/>
    <tableColumn id="11" xr3:uid="{D7D1C8B7-9196-429E-8E80-3B38BC4464D1}" name="列2" dataDxfId="30"/>
    <tableColumn id="12" xr3:uid="{5FF81DA0-9460-4C39-B043-5AF9BE921E12}" name="列3" dataDxfId="29"/>
    <tableColumn id="13" xr3:uid="{18A7B502-EB25-4181-A35F-DF3292FA2EB0}" name="列4" dataDxfId="28"/>
    <tableColumn id="14" xr3:uid="{760D6DE1-452C-4DC0-8F59-64856B4C58DA}" name="列5" dataDxfId="27"/>
    <tableColumn id="15" xr3:uid="{FFBE6C8C-AC0E-4F28-8601-4C7620D079D2}" name="列6" dataDxfId="26"/>
    <tableColumn id="16" xr3:uid="{934255FB-650D-4BA7-9A2E-A67E35FCC845}" name="試_x000a_合" dataDxfId="25"/>
    <tableColumn id="17" xr3:uid="{7300AD88-2D73-4CD6-9CE2-9194BCE3F3F1}" name="勝_x000a_利" dataDxfId="24"/>
    <tableColumn id="18" xr3:uid="{D1E8C21C-0A48-40D9-96D0-24CBCE183FAB}" name="敗_x000a_北" dataDxfId="23"/>
    <tableColumn id="19" xr3:uid="{10D25F5D-5B54-40A2-8B7B-92BCE73069E8}" name="セ_x000a_ー_x000a_ブ" dataDxfId="22"/>
    <tableColumn id="20" xr3:uid="{1D4873A7-D962-41B3-971E-E8A87D6C0EE0}" name="完_x000a_投" dataDxfId="21"/>
    <tableColumn id="21" xr3:uid="{E2DA9F86-F7AF-4D1B-9307-55162B6C1232}" name="完_x000a_封" dataDxfId="20"/>
    <tableColumn id="22" xr3:uid="{B304994E-CB6C-44BC-A299-930AE815148F}" name="回_x000a_数" dataDxfId="19"/>
    <tableColumn id="24" xr3:uid="{749C9539-C426-4B21-A058-F41EA927BFB9}" name="球_x000a_数" dataDxfId="18"/>
    <tableColumn id="25" xr3:uid="{0C63E58F-3C72-4A44-8AEB-21848E9B714F}" name="失_x000a_点" dataDxfId="17"/>
    <tableColumn id="26" xr3:uid="{1A1F2C86-3911-471A-B9B8-099EAF69EBCE}" name="自_x000a_責_x000a_点" dataDxfId="16"/>
    <tableColumn id="27" xr3:uid="{990199E9-A966-45D2-9959-63A10DD39F04}" name="打_x000a_席" dataDxfId="15"/>
    <tableColumn id="28" xr3:uid="{2ED76CF5-B099-4625-A4E1-EF581147611A}" name="奪_x000a_三_x000a_振" dataDxfId="14"/>
    <tableColumn id="29" xr3:uid="{ECA966F7-BF59-4A21-A921-7A099A6FE22D}" name="与_x000a_四_x000a_球" dataDxfId="13"/>
    <tableColumn id="30" xr3:uid="{67FB353C-89D1-4376-AB57-BA7FE4789177}" name="与_x000a_死_x000a_球" dataDxfId="12"/>
    <tableColumn id="31" xr3:uid="{C2FF9DBD-1C0F-4E29-AF0D-3AE3665747E8}" name="犠_x000a_打_x000a_飛" dataDxfId="11"/>
    <tableColumn id="32" xr3:uid="{79E833CF-FC9B-4E3B-93CC-FD1E8A52365C}" name="被_x000a_安_x000a_打" dataDxfId="10"/>
    <tableColumn id="33" xr3:uid="{7426FAFC-0357-408F-8810-048459116576}" name="被_x000a_本_x000a_塁_x000a_打" dataDxfId="9"/>
    <tableColumn id="23" xr3:uid="{6D603AA6-BE3D-4AAD-9FEB-7AE49070A0A2}" name="列7" dataDxfId="8"/>
    <tableColumn id="34" xr3:uid="{53C3F432-837B-466A-9505-84BD5D03AE94}" name="列8" dataDxfId="7"/>
    <tableColumn id="35" xr3:uid="{ECB48655-2EFA-4BF8-9324-1D8105712E86}" name="列9" dataDxfId="6"/>
    <tableColumn id="36" xr3:uid="{C9002A55-6835-40C2-81CB-961F737FF014}" name="列10" dataDxfId="5"/>
    <tableColumn id="37" xr3:uid="{DECD587D-3DB6-4AB5-9340-CC17F8583D28}" name="列11" dataDxfId="4"/>
    <tableColumn id="38" xr3:uid="{84C75297-49F1-4651-80AD-7033F742228E}" name="列12" dataDxfId="3"/>
    <tableColumn id="39" xr3:uid="{D32B277A-0AF1-431B-8390-BCE1BB9FC732}" name="列13" dataDxfId="2"/>
    <tableColumn id="40" xr3:uid="{B40D8545-8E90-4109-A1A0-12125E654C67}" name="選手名2" dataDxfId="1">
      <calculatedColumnFormula>テーブル25[[#This Row],[選手名]]</calculatedColumnFormula>
    </tableColumn>
    <tableColumn id="41" xr3:uid="{26F75F0C-2FA3-48ED-8D45-F12644548497}" name="背2" dataDxfId="0">
      <calculatedColumnFormula>テーブル25[[#This Row],[背]]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903FF-86DF-480C-AAF1-54EFD8604210}">
  <sheetPr codeName="Sheet22"/>
  <dimension ref="A1:F54"/>
  <sheetViews>
    <sheetView workbookViewId="0">
      <selection activeCell="C19" sqref="C19"/>
    </sheetView>
  </sheetViews>
  <sheetFormatPr defaultColWidth="8.6875" defaultRowHeight="17.649999999999999" x14ac:dyDescent="0.7"/>
  <cols>
    <col min="1" max="1" width="6.8125" style="1" bestFit="1" customWidth="1"/>
    <col min="2" max="2" width="5" style="6" bestFit="1" customWidth="1"/>
    <col min="3" max="3" width="31.5625" style="1" bestFit="1" customWidth="1"/>
    <col min="4" max="4" width="6.0625" style="1" bestFit="1" customWidth="1"/>
    <col min="5" max="5" width="3.1875" style="1" bestFit="1" customWidth="1"/>
    <col min="6" max="6" width="12" style="1" bestFit="1" customWidth="1"/>
    <col min="7" max="16384" width="8.6875" style="1"/>
  </cols>
  <sheetData>
    <row r="1" spans="1:6" x14ac:dyDescent="0.7">
      <c r="A1" s="77" t="s">
        <v>278</v>
      </c>
      <c r="B1" s="77"/>
      <c r="C1" s="77"/>
      <c r="D1" s="77"/>
      <c r="E1" s="77"/>
      <c r="F1" s="77"/>
    </row>
    <row r="2" spans="1:6" s="6" customFormat="1" x14ac:dyDescent="0.7">
      <c r="A2" s="3" t="s">
        <v>273</v>
      </c>
      <c r="B2" s="3" t="s">
        <v>274</v>
      </c>
      <c r="C2" s="3" t="s">
        <v>275</v>
      </c>
      <c r="D2" s="76" t="s">
        <v>276</v>
      </c>
      <c r="E2" s="76"/>
      <c r="F2" s="3" t="s">
        <v>277</v>
      </c>
    </row>
    <row r="3" spans="1:6" x14ac:dyDescent="0.7">
      <c r="A3" s="2">
        <v>1</v>
      </c>
      <c r="B3" s="3" t="s">
        <v>110</v>
      </c>
      <c r="C3" s="2" t="s">
        <v>287</v>
      </c>
      <c r="D3" s="42" t="s">
        <v>288</v>
      </c>
      <c r="E3" s="3" t="s">
        <v>102</v>
      </c>
      <c r="F3" s="3" t="s">
        <v>289</v>
      </c>
    </row>
    <row r="4" spans="1:6" x14ac:dyDescent="0.7">
      <c r="A4" s="2">
        <v>2</v>
      </c>
      <c r="B4" s="3" t="s">
        <v>110</v>
      </c>
      <c r="C4" s="2" t="s">
        <v>290</v>
      </c>
      <c r="D4" s="42" t="s">
        <v>291</v>
      </c>
      <c r="E4" s="3" t="s">
        <v>102</v>
      </c>
      <c r="F4" s="3" t="s">
        <v>289</v>
      </c>
    </row>
    <row r="5" spans="1:6" x14ac:dyDescent="0.7">
      <c r="A5" s="2">
        <v>3</v>
      </c>
      <c r="B5" s="3" t="s">
        <v>110</v>
      </c>
      <c r="C5" s="2" t="s">
        <v>292</v>
      </c>
      <c r="D5" s="42" t="s">
        <v>293</v>
      </c>
      <c r="E5" s="3" t="s">
        <v>102</v>
      </c>
      <c r="F5" s="3" t="s">
        <v>289</v>
      </c>
    </row>
    <row r="6" spans="1:6" x14ac:dyDescent="0.7">
      <c r="A6" s="2">
        <v>4</v>
      </c>
      <c r="B6" s="3" t="s">
        <v>110</v>
      </c>
      <c r="C6" s="2" t="s">
        <v>294</v>
      </c>
      <c r="D6" s="42" t="s">
        <v>295</v>
      </c>
      <c r="E6" s="3" t="s">
        <v>110</v>
      </c>
      <c r="F6" s="3" t="s">
        <v>289</v>
      </c>
    </row>
    <row r="7" spans="1:6" x14ac:dyDescent="0.7">
      <c r="A7" s="2">
        <v>5</v>
      </c>
      <c r="B7" s="3" t="s">
        <v>110</v>
      </c>
      <c r="C7" s="2" t="s">
        <v>296</v>
      </c>
      <c r="D7" s="42" t="s">
        <v>297</v>
      </c>
      <c r="E7" s="3" t="s">
        <v>102</v>
      </c>
      <c r="F7" s="3" t="s">
        <v>289</v>
      </c>
    </row>
    <row r="8" spans="1:6" x14ac:dyDescent="0.7">
      <c r="A8" s="2">
        <v>6</v>
      </c>
      <c r="B8" s="3" t="s">
        <v>110</v>
      </c>
      <c r="C8" s="2" t="s">
        <v>301</v>
      </c>
      <c r="D8" s="42" t="s">
        <v>302</v>
      </c>
      <c r="E8" s="3" t="s">
        <v>187</v>
      </c>
      <c r="F8" s="3" t="s">
        <v>300</v>
      </c>
    </row>
    <row r="9" spans="1:6" x14ac:dyDescent="0.7">
      <c r="A9" s="2">
        <v>7</v>
      </c>
      <c r="B9" s="3" t="s">
        <v>110</v>
      </c>
      <c r="C9" s="2" t="s">
        <v>298</v>
      </c>
      <c r="D9" s="42" t="s">
        <v>299</v>
      </c>
      <c r="E9" s="3" t="s">
        <v>102</v>
      </c>
      <c r="F9" s="3" t="s">
        <v>300</v>
      </c>
    </row>
    <row r="10" spans="1:6" x14ac:dyDescent="0.7">
      <c r="A10" s="2">
        <v>8</v>
      </c>
      <c r="B10" s="3" t="s">
        <v>110</v>
      </c>
      <c r="C10" s="2" t="s">
        <v>303</v>
      </c>
      <c r="D10" s="42" t="s">
        <v>304</v>
      </c>
      <c r="E10" s="3" t="s">
        <v>102</v>
      </c>
      <c r="F10" s="3" t="s">
        <v>289</v>
      </c>
    </row>
    <row r="11" spans="1:6" x14ac:dyDescent="0.7">
      <c r="A11" s="2">
        <v>9</v>
      </c>
      <c r="B11" s="3" t="s">
        <v>110</v>
      </c>
      <c r="C11" s="2" t="s">
        <v>305</v>
      </c>
      <c r="D11" s="42" t="s">
        <v>306</v>
      </c>
      <c r="E11" s="3" t="s">
        <v>187</v>
      </c>
      <c r="F11" s="3" t="s">
        <v>289</v>
      </c>
    </row>
    <row r="12" spans="1:6" x14ac:dyDescent="0.7">
      <c r="A12" s="2">
        <v>10</v>
      </c>
      <c r="B12" s="3" t="s">
        <v>110</v>
      </c>
      <c r="C12" s="2" t="s">
        <v>307</v>
      </c>
      <c r="D12" s="42" t="s">
        <v>308</v>
      </c>
      <c r="E12" s="3" t="s">
        <v>110</v>
      </c>
      <c r="F12" s="3" t="s">
        <v>289</v>
      </c>
    </row>
    <row r="13" spans="1:6" x14ac:dyDescent="0.7">
      <c r="A13" s="2">
        <v>11</v>
      </c>
      <c r="B13" s="3" t="s">
        <v>110</v>
      </c>
      <c r="C13" s="2" t="s">
        <v>309</v>
      </c>
      <c r="D13" s="42" t="s">
        <v>310</v>
      </c>
      <c r="E13" s="3" t="s">
        <v>102</v>
      </c>
      <c r="F13" s="3" t="s">
        <v>289</v>
      </c>
    </row>
    <row r="14" spans="1:6" x14ac:dyDescent="0.7">
      <c r="A14" s="2">
        <v>12</v>
      </c>
      <c r="B14" s="3" t="s">
        <v>110</v>
      </c>
      <c r="C14" s="2" t="s">
        <v>311</v>
      </c>
      <c r="D14" s="42" t="s">
        <v>312</v>
      </c>
      <c r="E14" s="3" t="s">
        <v>102</v>
      </c>
      <c r="F14" s="3" t="s">
        <v>289</v>
      </c>
    </row>
    <row r="15" spans="1:6" x14ac:dyDescent="0.7">
      <c r="A15" s="2">
        <v>13</v>
      </c>
      <c r="B15" s="3" t="s">
        <v>110</v>
      </c>
      <c r="C15" s="2" t="s">
        <v>313</v>
      </c>
      <c r="D15" s="42" t="s">
        <v>314</v>
      </c>
      <c r="E15" s="3" t="s">
        <v>102</v>
      </c>
      <c r="F15" s="3" t="s">
        <v>300</v>
      </c>
    </row>
    <row r="16" spans="1:6" x14ac:dyDescent="0.7">
      <c r="A16" s="2">
        <v>14</v>
      </c>
      <c r="B16" s="3" t="s">
        <v>110</v>
      </c>
      <c r="C16" s="2" t="s">
        <v>316</v>
      </c>
      <c r="D16" s="42" t="s">
        <v>317</v>
      </c>
      <c r="E16" s="3" t="s">
        <v>102</v>
      </c>
      <c r="F16" s="3" t="s">
        <v>289</v>
      </c>
    </row>
    <row r="17" spans="1:6" x14ac:dyDescent="0.7">
      <c r="A17" s="2">
        <v>15</v>
      </c>
      <c r="B17" s="3" t="s">
        <v>110</v>
      </c>
      <c r="C17" s="2" t="s">
        <v>319</v>
      </c>
      <c r="D17" s="42" t="s">
        <v>325</v>
      </c>
      <c r="E17" s="3" t="s">
        <v>102</v>
      </c>
      <c r="F17" s="3" t="s">
        <v>289</v>
      </c>
    </row>
    <row r="18" spans="1:6" x14ac:dyDescent="0.7">
      <c r="A18" s="2">
        <v>16</v>
      </c>
      <c r="B18" s="3" t="s">
        <v>110</v>
      </c>
      <c r="C18" s="2" t="s">
        <v>320</v>
      </c>
      <c r="D18" s="42" t="s">
        <v>327</v>
      </c>
      <c r="E18" s="3" t="s">
        <v>187</v>
      </c>
      <c r="F18" s="3" t="s">
        <v>289</v>
      </c>
    </row>
    <row r="19" spans="1:6" x14ac:dyDescent="0.7">
      <c r="A19" s="2">
        <v>17</v>
      </c>
      <c r="B19" s="3" t="s">
        <v>110</v>
      </c>
      <c r="C19" s="2" t="s">
        <v>324</v>
      </c>
      <c r="D19" s="42" t="s">
        <v>328</v>
      </c>
      <c r="E19" s="3" t="s">
        <v>102</v>
      </c>
      <c r="F19" s="3" t="s">
        <v>300</v>
      </c>
    </row>
    <row r="20" spans="1:6" x14ac:dyDescent="0.7">
      <c r="A20" s="2">
        <v>18</v>
      </c>
      <c r="B20" s="3" t="s">
        <v>110</v>
      </c>
      <c r="C20" s="2" t="s">
        <v>329</v>
      </c>
      <c r="D20" s="42" t="s">
        <v>333</v>
      </c>
      <c r="E20" s="3" t="s">
        <v>110</v>
      </c>
      <c r="F20" s="3" t="s">
        <v>300</v>
      </c>
    </row>
    <row r="21" spans="1:6" x14ac:dyDescent="0.7">
      <c r="A21" s="2">
        <v>19</v>
      </c>
      <c r="B21" s="3" t="s">
        <v>110</v>
      </c>
      <c r="C21" s="2" t="s">
        <v>330</v>
      </c>
      <c r="D21" s="42" t="s">
        <v>334</v>
      </c>
      <c r="E21" s="3" t="s">
        <v>102</v>
      </c>
      <c r="F21" s="3" t="s">
        <v>300</v>
      </c>
    </row>
    <row r="22" spans="1:6" x14ac:dyDescent="0.7">
      <c r="D22" s="72"/>
      <c r="E22" s="6"/>
      <c r="F22" s="6" t="s">
        <v>335</v>
      </c>
    </row>
    <row r="23" spans="1:6" x14ac:dyDescent="0.7">
      <c r="D23" s="73"/>
    </row>
    <row r="24" spans="1:6" x14ac:dyDescent="0.7">
      <c r="D24" s="73"/>
    </row>
    <row r="25" spans="1:6" x14ac:dyDescent="0.7">
      <c r="D25" s="73"/>
    </row>
    <row r="26" spans="1:6" x14ac:dyDescent="0.7">
      <c r="D26" s="73"/>
    </row>
    <row r="27" spans="1:6" x14ac:dyDescent="0.7">
      <c r="D27" s="73"/>
    </row>
    <row r="28" spans="1:6" x14ac:dyDescent="0.7">
      <c r="D28" s="73"/>
    </row>
    <row r="29" spans="1:6" x14ac:dyDescent="0.7">
      <c r="D29" s="73"/>
    </row>
    <row r="30" spans="1:6" x14ac:dyDescent="0.7">
      <c r="D30" s="73"/>
    </row>
    <row r="31" spans="1:6" x14ac:dyDescent="0.7">
      <c r="D31" s="73"/>
    </row>
    <row r="32" spans="1:6" x14ac:dyDescent="0.7">
      <c r="D32" s="73"/>
    </row>
    <row r="33" spans="4:4" x14ac:dyDescent="0.7">
      <c r="D33" s="73"/>
    </row>
    <row r="34" spans="4:4" x14ac:dyDescent="0.7">
      <c r="D34" s="73"/>
    </row>
    <row r="35" spans="4:4" x14ac:dyDescent="0.7">
      <c r="D35" s="73"/>
    </row>
    <row r="36" spans="4:4" x14ac:dyDescent="0.7">
      <c r="D36" s="73"/>
    </row>
    <row r="37" spans="4:4" x14ac:dyDescent="0.7">
      <c r="D37" s="73"/>
    </row>
    <row r="38" spans="4:4" x14ac:dyDescent="0.7">
      <c r="D38" s="73"/>
    </row>
    <row r="39" spans="4:4" x14ac:dyDescent="0.7">
      <c r="D39" s="73"/>
    </row>
    <row r="40" spans="4:4" x14ac:dyDescent="0.7">
      <c r="D40" s="73"/>
    </row>
    <row r="41" spans="4:4" x14ac:dyDescent="0.7">
      <c r="D41" s="73"/>
    </row>
    <row r="42" spans="4:4" x14ac:dyDescent="0.7">
      <c r="D42" s="73"/>
    </row>
    <row r="43" spans="4:4" x14ac:dyDescent="0.7">
      <c r="D43" s="73"/>
    </row>
    <row r="44" spans="4:4" x14ac:dyDescent="0.7">
      <c r="D44" s="73"/>
    </row>
    <row r="45" spans="4:4" x14ac:dyDescent="0.7">
      <c r="D45" s="73"/>
    </row>
    <row r="46" spans="4:4" x14ac:dyDescent="0.7">
      <c r="D46" s="73"/>
    </row>
    <row r="47" spans="4:4" x14ac:dyDescent="0.7">
      <c r="D47" s="73"/>
    </row>
    <row r="48" spans="4:4" x14ac:dyDescent="0.7">
      <c r="D48" s="73"/>
    </row>
    <row r="49" spans="4:4" x14ac:dyDescent="0.7">
      <c r="D49" s="73"/>
    </row>
    <row r="50" spans="4:4" x14ac:dyDescent="0.7">
      <c r="D50" s="73"/>
    </row>
    <row r="51" spans="4:4" x14ac:dyDescent="0.7">
      <c r="D51" s="73"/>
    </row>
    <row r="52" spans="4:4" x14ac:dyDescent="0.7">
      <c r="D52" s="73"/>
    </row>
    <row r="53" spans="4:4" x14ac:dyDescent="0.7">
      <c r="D53" s="73"/>
    </row>
    <row r="54" spans="4:4" x14ac:dyDescent="0.7">
      <c r="D54" s="73"/>
    </row>
  </sheetData>
  <mergeCells count="2">
    <mergeCell ref="D2:E2"/>
    <mergeCell ref="A1:F1"/>
  </mergeCells>
  <phoneticPr fontId="2"/>
  <dataValidations count="1">
    <dataValidation type="list" allowBlank="1" showInputMessage="1" showErrorMessage="1" sqref="B13 B14 B15 B18 B19 B20 B3 B4 B6 B7 B10 B12 B5 B8 B9 B11 B16 B17 B22:B54 B21" xr:uid="{17FB72AA-ACF4-41F0-B238-C563C2289569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amelist_update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4" name="Button 4">
              <controlPr defaultSize="0" print="0" autoFill="0" autoPict="0" macro="[0]!stats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AE4C4-D7D9-492F-8461-DF926639D0E7}">
  <sheetPr codeName="Sheet1">
    <tabColor rgb="FF92D050"/>
    <pageSetUpPr fitToPage="1"/>
  </sheetPr>
  <dimension ref="A1:AO56"/>
  <sheetViews>
    <sheetView topLeftCell="A30" zoomScale="65" zoomScaleNormal="65" workbookViewId="0">
      <pane xSplit="1" topLeftCell="B1" activePane="topRight" state="frozen"/>
      <selection pane="topRight" activeCell="A62" sqref="A62"/>
    </sheetView>
  </sheetViews>
  <sheetFormatPr defaultColWidth="8.6875" defaultRowHeight="17.649999999999999" x14ac:dyDescent="0.7"/>
  <cols>
    <col min="1" max="1" width="4.4375" style="1" customWidth="1"/>
    <col min="2" max="2" width="12.5" style="6" bestFit="1" customWidth="1"/>
    <col min="3" max="10" width="8.8125" style="47" customWidth="1"/>
    <col min="11" max="14" width="8.8125" style="47" hidden="1" customWidth="1"/>
    <col min="15" max="15" width="8.8125" style="47" customWidth="1"/>
    <col min="16" max="21" width="5.0625" style="1" customWidth="1"/>
    <col min="22" max="22" width="6.3125" style="1" customWidth="1"/>
    <col min="23" max="23" width="6.5" style="1" customWidth="1"/>
    <col min="24" max="39" width="5.0625" style="1" customWidth="1"/>
    <col min="40" max="40" width="12.5" style="6" customWidth="1"/>
    <col min="41" max="41" width="4.4375" style="61" customWidth="1"/>
    <col min="42" max="16384" width="8.6875" style="1"/>
  </cols>
  <sheetData>
    <row r="1" spans="1:41" ht="88.15" x14ac:dyDescent="0.7">
      <c r="A1" s="35" t="s">
        <v>17</v>
      </c>
      <c r="B1" s="36" t="s">
        <v>16</v>
      </c>
      <c r="C1" s="43" t="s">
        <v>113</v>
      </c>
      <c r="D1" s="43" t="s">
        <v>189</v>
      </c>
      <c r="E1" s="43" t="s">
        <v>115</v>
      </c>
      <c r="F1" s="43" t="s">
        <v>116</v>
      </c>
      <c r="G1" s="43" t="s">
        <v>118</v>
      </c>
      <c r="H1" s="43" t="s">
        <v>120</v>
      </c>
      <c r="I1" s="43" t="s">
        <v>190</v>
      </c>
      <c r="J1" s="43" t="s">
        <v>123</v>
      </c>
      <c r="K1" s="43" t="s">
        <v>124</v>
      </c>
      <c r="L1" s="43" t="s">
        <v>125</v>
      </c>
      <c r="M1" s="43" t="s">
        <v>126</v>
      </c>
      <c r="N1" s="43" t="s">
        <v>127</v>
      </c>
      <c r="O1" s="43" t="s">
        <v>128</v>
      </c>
      <c r="P1" s="36" t="s">
        <v>188</v>
      </c>
      <c r="Q1" s="36" t="s">
        <v>191</v>
      </c>
      <c r="R1" s="36" t="s">
        <v>192</v>
      </c>
      <c r="S1" s="36" t="s">
        <v>193</v>
      </c>
      <c r="T1" s="36" t="s">
        <v>194</v>
      </c>
      <c r="U1" s="36" t="s">
        <v>195</v>
      </c>
      <c r="V1" s="36" t="s">
        <v>196</v>
      </c>
      <c r="W1" s="36" t="s">
        <v>197</v>
      </c>
      <c r="X1" s="36" t="s">
        <v>198</v>
      </c>
      <c r="Y1" s="36" t="s">
        <v>199</v>
      </c>
      <c r="Z1" s="36" t="s">
        <v>200</v>
      </c>
      <c r="AA1" s="36" t="s">
        <v>201</v>
      </c>
      <c r="AB1" s="36" t="s">
        <v>202</v>
      </c>
      <c r="AC1" s="36" t="s">
        <v>203</v>
      </c>
      <c r="AD1" s="36" t="s">
        <v>204</v>
      </c>
      <c r="AE1" s="36" t="s">
        <v>205</v>
      </c>
      <c r="AF1" s="36" t="s">
        <v>206</v>
      </c>
      <c r="AG1" s="36" t="s">
        <v>207</v>
      </c>
      <c r="AH1" s="36" t="s">
        <v>208</v>
      </c>
      <c r="AI1" s="36" t="s">
        <v>209</v>
      </c>
      <c r="AJ1" s="36" t="s">
        <v>210</v>
      </c>
      <c r="AK1" s="36" t="s">
        <v>211</v>
      </c>
      <c r="AL1" s="36" t="s">
        <v>212</v>
      </c>
      <c r="AM1" s="36" t="s">
        <v>213</v>
      </c>
      <c r="AN1" s="36" t="s">
        <v>279</v>
      </c>
      <c r="AO1" s="65" t="s">
        <v>280</v>
      </c>
    </row>
    <row r="2" spans="1:41" x14ac:dyDescent="0.7">
      <c r="A2" s="34">
        <f>VLOOKUP(B2,データ!A:B,2,FALSE)</f>
        <v>1</v>
      </c>
      <c r="B2" s="3" t="s">
        <v>229</v>
      </c>
      <c r="C2" s="44">
        <f t="shared" ref="C2:C24" si="0">IFERROR(R2/Q2,"")</f>
        <v>0.18</v>
      </c>
      <c r="D2" s="44">
        <f t="shared" ref="D2:D24" si="1">IFERROR(T2/S2,"")</f>
        <v>0.125</v>
      </c>
      <c r="E2" s="44">
        <f t="shared" ref="E2:E24" si="2">IFERROR((R2+AC2+AD2)/(Q2+AC2+AD2+AI2),"")</f>
        <v>0.24074074074074073</v>
      </c>
      <c r="F2" s="44">
        <f t="shared" ref="F2:F24" si="3">IFERROR((U2+V2*2+W2*3+X2*4)/Q2,"")</f>
        <v>0.2</v>
      </c>
      <c r="G2" s="44">
        <f t="shared" ref="G2:G24" si="4">IFERROR(E2+F2,"")</f>
        <v>0.44074074074074077</v>
      </c>
      <c r="H2" s="44">
        <f t="shared" ref="H2:H24" si="5">IFERROR(AC2/AB2,"")</f>
        <v>0.5</v>
      </c>
      <c r="I2" s="44" t="str">
        <f t="shared" ref="I2:I24" si="6">IFERROR(AF2/(AF2+AG2),"")</f>
        <v/>
      </c>
      <c r="J2" s="44">
        <f t="shared" ref="J2:J24" si="7">IFERROR(K2/(Q2-R2+AG2+AH2+AE2)*27,"")</f>
        <v>1.3843902439024356</v>
      </c>
      <c r="K2" s="44">
        <f t="shared" ref="K2:K24" si="8">((2.4*N2+L2)*(3*N2+M2)/(9*N2))-0.9*N2</f>
        <v>2.1022222222222169</v>
      </c>
      <c r="L2" s="44">
        <f t="shared" ref="L2:L24" si="9">R2+AC2+AD2-AG2-AE2</f>
        <v>13</v>
      </c>
      <c r="M2" s="44">
        <f t="shared" ref="M2:M24" si="10">(U2+V2*2+W2*3+X2*4)+0.26*(AC2+AD2)+0.53*AH2+0.64*AF2-0.03*AB2</f>
        <v>10.799999999999999</v>
      </c>
      <c r="N2" s="44">
        <f t="shared" ref="N2:N24" si="11">Q2+AC2+AD2+AH2</f>
        <v>54</v>
      </c>
      <c r="O2" s="44">
        <f t="shared" ref="O2:O24" si="12">IFERROR((AJ2+AK2)/AM2,"")</f>
        <v>0.92307692307692313</v>
      </c>
      <c r="P2" s="2">
        <v>54</v>
      </c>
      <c r="Q2" s="2">
        <v>50</v>
      </c>
      <c r="R2" s="2">
        <v>9</v>
      </c>
      <c r="S2" s="2">
        <v>8</v>
      </c>
      <c r="T2" s="2">
        <v>1</v>
      </c>
      <c r="U2" s="2">
        <v>8</v>
      </c>
      <c r="V2" s="2">
        <v>1</v>
      </c>
      <c r="W2" s="2"/>
      <c r="X2" s="2"/>
      <c r="Y2" s="2">
        <v>3</v>
      </c>
      <c r="Z2" s="2"/>
      <c r="AA2" s="2">
        <v>5</v>
      </c>
      <c r="AB2" s="2">
        <v>8</v>
      </c>
      <c r="AC2" s="2">
        <v>4</v>
      </c>
      <c r="AD2" s="2"/>
      <c r="AE2" s="2"/>
      <c r="AF2" s="2"/>
      <c r="AG2" s="2"/>
      <c r="AH2" s="2"/>
      <c r="AI2" s="2"/>
      <c r="AJ2" s="2">
        <v>34</v>
      </c>
      <c r="AK2" s="2">
        <v>38</v>
      </c>
      <c r="AL2" s="2">
        <v>6</v>
      </c>
      <c r="AM2" s="2">
        <f t="shared" ref="AM2:AM24" si="13">IFERROR(IF(SUM(AJ2,AK2,AL2)=0,"",SUM(AJ2,AK2,AL2)),"")</f>
        <v>78</v>
      </c>
      <c r="AN2" s="57" t="str">
        <f>テーブル14[[#This Row],[選手名]]</f>
        <v>友野水葉</v>
      </c>
      <c r="AO2" s="66">
        <f>テーブル14[[#This Row],[背]]</f>
        <v>1</v>
      </c>
    </row>
    <row r="3" spans="1:41" x14ac:dyDescent="0.7">
      <c r="A3" s="34">
        <f>VLOOKUP(B3,データ!A:B,2,FALSE)</f>
        <v>3</v>
      </c>
      <c r="B3" s="3" t="s">
        <v>237</v>
      </c>
      <c r="C3" s="38">
        <f t="shared" si="0"/>
        <v>0.14285714285714285</v>
      </c>
      <c r="D3" s="38">
        <f t="shared" si="1"/>
        <v>0</v>
      </c>
      <c r="E3" s="38">
        <f t="shared" si="2"/>
        <v>0.27272727272727271</v>
      </c>
      <c r="F3" s="38">
        <f t="shared" si="3"/>
        <v>0.17857142857142858</v>
      </c>
      <c r="G3" s="38">
        <f t="shared" si="4"/>
        <v>0.45129870129870131</v>
      </c>
      <c r="H3" s="38">
        <f t="shared" si="5"/>
        <v>0.4</v>
      </c>
      <c r="I3" s="38" t="str">
        <f t="shared" si="6"/>
        <v/>
      </c>
      <c r="J3" s="38">
        <f t="shared" si="7"/>
        <v>1.6670454545454572</v>
      </c>
      <c r="K3" s="38">
        <f t="shared" si="8"/>
        <v>1.4818181818181841</v>
      </c>
      <c r="L3" s="38">
        <f t="shared" si="9"/>
        <v>9</v>
      </c>
      <c r="M3" s="38">
        <f t="shared" si="10"/>
        <v>6</v>
      </c>
      <c r="N3" s="38">
        <f t="shared" si="11"/>
        <v>33</v>
      </c>
      <c r="O3" s="38">
        <f t="shared" si="12"/>
        <v>0.9152542372881356</v>
      </c>
      <c r="P3" s="2">
        <v>33</v>
      </c>
      <c r="Q3" s="2">
        <v>28</v>
      </c>
      <c r="R3" s="2">
        <v>4</v>
      </c>
      <c r="S3" s="2">
        <v>11</v>
      </c>
      <c r="T3" s="2"/>
      <c r="U3" s="2">
        <v>3</v>
      </c>
      <c r="V3" s="2">
        <v>1</v>
      </c>
      <c r="W3" s="2"/>
      <c r="X3" s="2"/>
      <c r="Y3" s="2">
        <v>1</v>
      </c>
      <c r="Z3" s="2">
        <v>2</v>
      </c>
      <c r="AA3" s="2">
        <v>1</v>
      </c>
      <c r="AB3" s="2">
        <v>10</v>
      </c>
      <c r="AC3" s="2">
        <v>4</v>
      </c>
      <c r="AD3" s="2">
        <v>1</v>
      </c>
      <c r="AE3" s="2"/>
      <c r="AF3" s="2"/>
      <c r="AG3" s="2"/>
      <c r="AH3" s="2"/>
      <c r="AI3" s="2"/>
      <c r="AJ3" s="2">
        <v>49</v>
      </c>
      <c r="AK3" s="2">
        <v>5</v>
      </c>
      <c r="AL3" s="2">
        <v>5</v>
      </c>
      <c r="AM3" s="2">
        <f t="shared" si="13"/>
        <v>59</v>
      </c>
      <c r="AN3" s="57" t="str">
        <f>テーブル14[[#This Row],[選手名]]</f>
        <v>我那覇公二郎</v>
      </c>
      <c r="AO3" s="66">
        <f>テーブル14[[#This Row],[背]]</f>
        <v>3</v>
      </c>
    </row>
    <row r="4" spans="1:41" x14ac:dyDescent="0.7">
      <c r="A4" s="34">
        <f>VLOOKUP(B4,データ!A:B,2,FALSE)</f>
        <v>5</v>
      </c>
      <c r="B4" s="3" t="s">
        <v>256</v>
      </c>
      <c r="C4" s="38">
        <f t="shared" si="0"/>
        <v>0.125</v>
      </c>
      <c r="D4" s="38">
        <f t="shared" si="1"/>
        <v>0.1</v>
      </c>
      <c r="E4" s="38">
        <f t="shared" si="2"/>
        <v>0.33333333333333331</v>
      </c>
      <c r="F4" s="38">
        <f t="shared" si="3"/>
        <v>0.125</v>
      </c>
      <c r="G4" s="38">
        <f t="shared" si="4"/>
        <v>0.45833333333333331</v>
      </c>
      <c r="H4" s="38">
        <f t="shared" si="5"/>
        <v>0.66666666666666663</v>
      </c>
      <c r="I4" s="38" t="str">
        <f t="shared" si="6"/>
        <v/>
      </c>
      <c r="J4" s="38">
        <f t="shared" si="7"/>
        <v>2.2774285714285685</v>
      </c>
      <c r="K4" s="38">
        <f t="shared" si="8"/>
        <v>2.3617777777777746</v>
      </c>
      <c r="L4" s="38">
        <f t="shared" si="9"/>
        <v>14</v>
      </c>
      <c r="M4" s="38">
        <f t="shared" si="10"/>
        <v>6.2399999999999993</v>
      </c>
      <c r="N4" s="38">
        <f t="shared" si="11"/>
        <v>42</v>
      </c>
      <c r="O4" s="38">
        <f t="shared" si="12"/>
        <v>0.76</v>
      </c>
      <c r="P4" s="2">
        <v>42</v>
      </c>
      <c r="Q4" s="2">
        <v>32</v>
      </c>
      <c r="R4" s="2">
        <v>4</v>
      </c>
      <c r="S4" s="2">
        <v>10</v>
      </c>
      <c r="T4" s="2">
        <v>1</v>
      </c>
      <c r="U4" s="2">
        <v>4</v>
      </c>
      <c r="V4" s="2"/>
      <c r="W4" s="2"/>
      <c r="X4" s="2"/>
      <c r="Y4" s="2">
        <v>1</v>
      </c>
      <c r="Z4" s="2">
        <v>2</v>
      </c>
      <c r="AA4" s="2">
        <v>2</v>
      </c>
      <c r="AB4" s="2">
        <v>12</v>
      </c>
      <c r="AC4" s="2">
        <v>8</v>
      </c>
      <c r="AD4" s="2">
        <v>2</v>
      </c>
      <c r="AE4" s="2"/>
      <c r="AF4" s="2"/>
      <c r="AG4" s="2"/>
      <c r="AH4" s="2"/>
      <c r="AI4" s="2"/>
      <c r="AJ4" s="2">
        <v>17</v>
      </c>
      <c r="AK4" s="2">
        <v>2</v>
      </c>
      <c r="AL4" s="2">
        <v>6</v>
      </c>
      <c r="AM4" s="2">
        <f t="shared" si="13"/>
        <v>25</v>
      </c>
      <c r="AN4" s="57" t="str">
        <f>テーブル14[[#This Row],[選手名]]</f>
        <v>山内治樹</v>
      </c>
      <c r="AO4" s="66">
        <f>テーブル14[[#This Row],[背]]</f>
        <v>5</v>
      </c>
    </row>
    <row r="5" spans="1:41" x14ac:dyDescent="0.7">
      <c r="A5" s="34">
        <f>VLOOKUP(B5,データ!A:B,2,FALSE)</f>
        <v>7</v>
      </c>
      <c r="B5" s="3" t="s">
        <v>254</v>
      </c>
      <c r="C5" s="38">
        <f t="shared" si="0"/>
        <v>0.16666666666666666</v>
      </c>
      <c r="D5" s="38">
        <f t="shared" si="1"/>
        <v>0</v>
      </c>
      <c r="E5" s="38">
        <f t="shared" si="2"/>
        <v>0.15384615384615385</v>
      </c>
      <c r="F5" s="38">
        <f t="shared" si="3"/>
        <v>0.25</v>
      </c>
      <c r="G5" s="38">
        <f t="shared" si="4"/>
        <v>0.40384615384615385</v>
      </c>
      <c r="H5" s="38">
        <f t="shared" si="5"/>
        <v>0</v>
      </c>
      <c r="I5" s="38" t="str">
        <f t="shared" si="6"/>
        <v/>
      </c>
      <c r="J5" s="38">
        <f t="shared" si="7"/>
        <v>-0.25800000000000722</v>
      </c>
      <c r="K5" s="38">
        <f t="shared" si="8"/>
        <v>-0.10511111111111404</v>
      </c>
      <c r="L5" s="38">
        <f t="shared" si="9"/>
        <v>1</v>
      </c>
      <c r="M5" s="38">
        <f t="shared" si="10"/>
        <v>2.76</v>
      </c>
      <c r="N5" s="38">
        <f t="shared" si="11"/>
        <v>12</v>
      </c>
      <c r="O5" s="38">
        <f t="shared" si="12"/>
        <v>0.6</v>
      </c>
      <c r="P5" s="2">
        <v>13</v>
      </c>
      <c r="Q5" s="2">
        <v>12</v>
      </c>
      <c r="R5" s="2">
        <v>2</v>
      </c>
      <c r="S5" s="2">
        <v>5</v>
      </c>
      <c r="T5" s="2"/>
      <c r="U5" s="2">
        <v>1</v>
      </c>
      <c r="V5" s="2">
        <v>1</v>
      </c>
      <c r="W5" s="2"/>
      <c r="X5" s="2"/>
      <c r="Y5" s="2">
        <v>1</v>
      </c>
      <c r="Z5" s="2">
        <v>1</v>
      </c>
      <c r="AA5" s="2"/>
      <c r="AB5" s="2">
        <v>8</v>
      </c>
      <c r="AC5" s="2"/>
      <c r="AD5" s="2"/>
      <c r="AE5" s="2">
        <v>1</v>
      </c>
      <c r="AF5" s="2"/>
      <c r="AG5" s="2"/>
      <c r="AH5" s="2"/>
      <c r="AI5" s="2">
        <v>1</v>
      </c>
      <c r="AJ5" s="2">
        <v>3</v>
      </c>
      <c r="AK5" s="2">
        <v>3</v>
      </c>
      <c r="AL5" s="2">
        <v>4</v>
      </c>
      <c r="AM5" s="2">
        <f t="shared" si="13"/>
        <v>10</v>
      </c>
      <c r="AN5" s="57" t="str">
        <f>テーブル14[[#This Row],[選手名]]</f>
        <v>山下湊</v>
      </c>
      <c r="AO5" s="66">
        <f>テーブル14[[#This Row],[背]]</f>
        <v>7</v>
      </c>
    </row>
    <row r="6" spans="1:41" x14ac:dyDescent="0.7">
      <c r="A6" s="34">
        <f>VLOOKUP(B6,データ!A:B,2,FALSE)</f>
        <v>9</v>
      </c>
      <c r="B6" s="3" t="s">
        <v>318</v>
      </c>
      <c r="C6" s="38">
        <f t="shared" si="0"/>
        <v>0.22222222222222221</v>
      </c>
      <c r="D6" s="38">
        <f t="shared" si="1"/>
        <v>0.25</v>
      </c>
      <c r="E6" s="38">
        <f t="shared" si="2"/>
        <v>0.3</v>
      </c>
      <c r="F6" s="38">
        <f t="shared" si="3"/>
        <v>0.22222222222222221</v>
      </c>
      <c r="G6" s="38">
        <f t="shared" si="4"/>
        <v>0.52222222222222214</v>
      </c>
      <c r="H6" s="38">
        <f t="shared" si="5"/>
        <v>0.2857142857142857</v>
      </c>
      <c r="I6" s="38" t="str">
        <f t="shared" si="6"/>
        <v/>
      </c>
      <c r="J6" s="38">
        <f t="shared" si="7"/>
        <v>2.4936428571428624</v>
      </c>
      <c r="K6" s="38">
        <f t="shared" si="8"/>
        <v>1.2930000000000028</v>
      </c>
      <c r="L6" s="38">
        <f t="shared" si="9"/>
        <v>6</v>
      </c>
      <c r="M6" s="38">
        <f t="shared" si="10"/>
        <v>4.3099999999999996</v>
      </c>
      <c r="N6" s="38">
        <f t="shared" si="11"/>
        <v>20</v>
      </c>
      <c r="O6" s="38">
        <f t="shared" si="12"/>
        <v>0.7142857142857143</v>
      </c>
      <c r="P6" s="2">
        <v>20</v>
      </c>
      <c r="Q6" s="2">
        <v>18</v>
      </c>
      <c r="R6" s="2">
        <v>4</v>
      </c>
      <c r="S6" s="2">
        <v>8</v>
      </c>
      <c r="T6" s="2">
        <v>2</v>
      </c>
      <c r="U6" s="2">
        <v>4</v>
      </c>
      <c r="V6" s="2"/>
      <c r="W6" s="2"/>
      <c r="X6" s="2"/>
      <c r="Y6" s="2"/>
      <c r="Z6" s="2">
        <v>1</v>
      </c>
      <c r="AA6" s="2">
        <v>1</v>
      </c>
      <c r="AB6" s="2">
        <v>7</v>
      </c>
      <c r="AC6" s="2">
        <v>2</v>
      </c>
      <c r="AD6" s="2"/>
      <c r="AE6" s="2"/>
      <c r="AF6" s="2"/>
      <c r="AG6" s="2"/>
      <c r="AH6" s="2"/>
      <c r="AI6" s="2"/>
      <c r="AJ6" s="2">
        <v>10</v>
      </c>
      <c r="AK6" s="2">
        <v>5</v>
      </c>
      <c r="AL6" s="2">
        <v>6</v>
      </c>
      <c r="AM6" s="2">
        <f t="shared" si="13"/>
        <v>21</v>
      </c>
      <c r="AN6" s="57" t="str">
        <f>テーブル14[[#This Row],[選手名]]</f>
        <v>藤枝稜央</v>
      </c>
      <c r="AO6" s="66">
        <f>テーブル14[[#This Row],[背]]</f>
        <v>9</v>
      </c>
    </row>
    <row r="7" spans="1:41" x14ac:dyDescent="0.7">
      <c r="A7" s="34">
        <f>VLOOKUP(B7,データ!A:B,2,FALSE)</f>
        <v>9</v>
      </c>
      <c r="B7" s="3" t="s">
        <v>268</v>
      </c>
      <c r="C7" s="38">
        <f t="shared" si="0"/>
        <v>9.0909090909090912E-2</v>
      </c>
      <c r="D7" s="38">
        <f t="shared" si="1"/>
        <v>0</v>
      </c>
      <c r="E7" s="38">
        <f t="shared" si="2"/>
        <v>0.2857142857142857</v>
      </c>
      <c r="F7" s="38">
        <f t="shared" si="3"/>
        <v>9.0909090909090912E-2</v>
      </c>
      <c r="G7" s="38">
        <f t="shared" si="4"/>
        <v>0.37662337662337664</v>
      </c>
      <c r="H7" s="38">
        <f t="shared" si="5"/>
        <v>1.5</v>
      </c>
      <c r="I7" s="38" t="str">
        <f t="shared" si="6"/>
        <v/>
      </c>
      <c r="J7" s="38">
        <f t="shared" si="7"/>
        <v>1.2058285714285752</v>
      </c>
      <c r="K7" s="38">
        <f t="shared" si="8"/>
        <v>0.446603174603176</v>
      </c>
      <c r="L7" s="38">
        <f t="shared" si="9"/>
        <v>4</v>
      </c>
      <c r="M7" s="38">
        <f t="shared" si="10"/>
        <v>1.72</v>
      </c>
      <c r="N7" s="38">
        <f t="shared" si="11"/>
        <v>14</v>
      </c>
      <c r="O7" s="38">
        <f t="shared" si="12"/>
        <v>0.66666666666666663</v>
      </c>
      <c r="P7" s="2">
        <v>14</v>
      </c>
      <c r="Q7" s="2">
        <v>11</v>
      </c>
      <c r="R7" s="2">
        <v>1</v>
      </c>
      <c r="S7" s="2">
        <v>1</v>
      </c>
      <c r="T7" s="2"/>
      <c r="U7" s="2">
        <v>1</v>
      </c>
      <c r="V7" s="2"/>
      <c r="W7" s="2"/>
      <c r="X7" s="2"/>
      <c r="Y7" s="2">
        <v>1</v>
      </c>
      <c r="Z7" s="2"/>
      <c r="AA7" s="2">
        <v>1</v>
      </c>
      <c r="AB7" s="2">
        <v>2</v>
      </c>
      <c r="AC7" s="2">
        <v>3</v>
      </c>
      <c r="AD7" s="2"/>
      <c r="AE7" s="2"/>
      <c r="AF7" s="2"/>
      <c r="AG7" s="2"/>
      <c r="AH7" s="2"/>
      <c r="AI7" s="2"/>
      <c r="AJ7" s="2">
        <v>2</v>
      </c>
      <c r="AK7" s="2"/>
      <c r="AL7" s="2">
        <v>1</v>
      </c>
      <c r="AM7" s="2">
        <f t="shared" si="13"/>
        <v>3</v>
      </c>
      <c r="AN7" s="57" t="str">
        <f>テーブル14[[#This Row],[選手名]]</f>
        <v>和田侑也</v>
      </c>
      <c r="AO7" s="66">
        <f>テーブル14[[#This Row],[背]]</f>
        <v>9</v>
      </c>
    </row>
    <row r="8" spans="1:41" x14ac:dyDescent="0.7">
      <c r="A8" s="34">
        <f>VLOOKUP(B8,データ!A:B,2,FALSE)</f>
        <v>11</v>
      </c>
      <c r="B8" s="3" t="s">
        <v>233</v>
      </c>
      <c r="C8" s="38" t="str">
        <f t="shared" si="0"/>
        <v/>
      </c>
      <c r="D8" s="38" t="str">
        <f t="shared" si="1"/>
        <v/>
      </c>
      <c r="E8" s="38" t="str">
        <f t="shared" si="2"/>
        <v/>
      </c>
      <c r="F8" s="38" t="str">
        <f t="shared" si="3"/>
        <v/>
      </c>
      <c r="G8" s="38" t="str">
        <f t="shared" si="4"/>
        <v/>
      </c>
      <c r="H8" s="38" t="str">
        <f t="shared" si="5"/>
        <v/>
      </c>
      <c r="I8" s="38" t="str">
        <f t="shared" si="6"/>
        <v/>
      </c>
      <c r="J8" s="38" t="str">
        <f t="shared" si="7"/>
        <v/>
      </c>
      <c r="K8" s="38" t="e">
        <f t="shared" si="8"/>
        <v>#DIV/0!</v>
      </c>
      <c r="L8" s="38">
        <f t="shared" si="9"/>
        <v>0</v>
      </c>
      <c r="M8" s="38">
        <f t="shared" si="10"/>
        <v>0</v>
      </c>
      <c r="N8" s="38">
        <f t="shared" si="11"/>
        <v>0</v>
      </c>
      <c r="O8" s="38" t="str">
        <f t="shared" si="12"/>
        <v/>
      </c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 t="str">
        <f t="shared" si="13"/>
        <v/>
      </c>
      <c r="AN8" s="57" t="str">
        <f>テーブル14[[#This Row],[選手名]]</f>
        <v>岩本佳大</v>
      </c>
      <c r="AO8" s="66">
        <f>テーブル14[[#This Row],[背]]</f>
        <v>11</v>
      </c>
    </row>
    <row r="9" spans="1:41" x14ac:dyDescent="0.7">
      <c r="A9" s="34">
        <f>VLOOKUP(B9,データ!A:B,2,FALSE)</f>
        <v>12</v>
      </c>
      <c r="B9" s="3" t="s">
        <v>235</v>
      </c>
      <c r="C9" s="38">
        <f t="shared" si="0"/>
        <v>6.8965517241379309E-2</v>
      </c>
      <c r="D9" s="38">
        <f t="shared" si="1"/>
        <v>0</v>
      </c>
      <c r="E9" s="38">
        <f t="shared" si="2"/>
        <v>0.20588235294117646</v>
      </c>
      <c r="F9" s="38">
        <f t="shared" si="3"/>
        <v>0.10344827586206896</v>
      </c>
      <c r="G9" s="38">
        <f t="shared" si="4"/>
        <v>0.30933062880324541</v>
      </c>
      <c r="H9" s="38">
        <f t="shared" si="5"/>
        <v>0.5</v>
      </c>
      <c r="I9" s="38">
        <f t="shared" si="6"/>
        <v>0.5</v>
      </c>
      <c r="J9" s="38">
        <f t="shared" si="7"/>
        <v>-6.912605042017235E-2</v>
      </c>
      <c r="K9" s="38">
        <f t="shared" si="8"/>
        <v>-7.1686274509808356E-2</v>
      </c>
      <c r="L9" s="38">
        <f t="shared" si="9"/>
        <v>6</v>
      </c>
      <c r="M9" s="38">
        <f t="shared" si="10"/>
        <v>4.6399999999999997</v>
      </c>
      <c r="N9" s="38">
        <f t="shared" si="11"/>
        <v>34</v>
      </c>
      <c r="O9" s="38">
        <f t="shared" si="12"/>
        <v>0.95</v>
      </c>
      <c r="P9" s="2">
        <v>34</v>
      </c>
      <c r="Q9" s="2">
        <v>29</v>
      </c>
      <c r="R9" s="2">
        <v>2</v>
      </c>
      <c r="S9" s="2">
        <v>6</v>
      </c>
      <c r="T9" s="2"/>
      <c r="U9" s="2">
        <v>1</v>
      </c>
      <c r="V9" s="2">
        <v>1</v>
      </c>
      <c r="W9" s="2"/>
      <c r="X9" s="2"/>
      <c r="Y9" s="2">
        <v>3</v>
      </c>
      <c r="Z9" s="2"/>
      <c r="AA9" s="2">
        <v>1</v>
      </c>
      <c r="AB9" s="2">
        <v>10</v>
      </c>
      <c r="AC9" s="2">
        <v>5</v>
      </c>
      <c r="AD9" s="2"/>
      <c r="AE9" s="2"/>
      <c r="AF9" s="2">
        <v>1</v>
      </c>
      <c r="AG9" s="2">
        <v>1</v>
      </c>
      <c r="AH9" s="2"/>
      <c r="AI9" s="2"/>
      <c r="AJ9" s="2">
        <v>34</v>
      </c>
      <c r="AK9" s="2">
        <v>4</v>
      </c>
      <c r="AL9" s="2">
        <v>2</v>
      </c>
      <c r="AM9" s="2">
        <f t="shared" si="13"/>
        <v>40</v>
      </c>
      <c r="AN9" s="57" t="str">
        <f>テーブル14[[#This Row],[選手名]]</f>
        <v>若菜光</v>
      </c>
      <c r="AO9" s="66">
        <f>テーブル14[[#This Row],[背]]</f>
        <v>12</v>
      </c>
    </row>
    <row r="10" spans="1:41" x14ac:dyDescent="0.7">
      <c r="A10" s="34">
        <f>VLOOKUP(B10,データ!A:B,2,FALSE)</f>
        <v>17</v>
      </c>
      <c r="B10" s="3" t="s">
        <v>260</v>
      </c>
      <c r="C10" s="38">
        <f t="shared" si="0"/>
        <v>0.25</v>
      </c>
      <c r="D10" s="38">
        <f t="shared" si="1"/>
        <v>0</v>
      </c>
      <c r="E10" s="38">
        <f t="shared" si="2"/>
        <v>0.25</v>
      </c>
      <c r="F10" s="38">
        <f t="shared" si="3"/>
        <v>0.25</v>
      </c>
      <c r="G10" s="38">
        <f t="shared" si="4"/>
        <v>0.5</v>
      </c>
      <c r="H10" s="38">
        <f t="shared" si="5"/>
        <v>0</v>
      </c>
      <c r="I10" s="38" t="str">
        <f t="shared" si="6"/>
        <v/>
      </c>
      <c r="J10" s="38">
        <f t="shared" si="7"/>
        <v>1.8909999999999945</v>
      </c>
      <c r="K10" s="38">
        <f t="shared" si="8"/>
        <v>0.21011111111111047</v>
      </c>
      <c r="L10" s="38">
        <f t="shared" si="9"/>
        <v>1</v>
      </c>
      <c r="M10" s="38">
        <f t="shared" si="10"/>
        <v>0.94</v>
      </c>
      <c r="N10" s="38">
        <f t="shared" si="11"/>
        <v>4</v>
      </c>
      <c r="O10" s="38">
        <f t="shared" si="12"/>
        <v>1</v>
      </c>
      <c r="P10" s="2">
        <v>4</v>
      </c>
      <c r="Q10" s="2">
        <v>4</v>
      </c>
      <c r="R10" s="2">
        <v>1</v>
      </c>
      <c r="S10" s="2">
        <v>1</v>
      </c>
      <c r="T10" s="2"/>
      <c r="U10" s="2">
        <v>1</v>
      </c>
      <c r="V10" s="2"/>
      <c r="W10" s="2"/>
      <c r="X10" s="2"/>
      <c r="Y10" s="2">
        <v>1</v>
      </c>
      <c r="Z10" s="2"/>
      <c r="AA10" s="2"/>
      <c r="AB10" s="2">
        <v>2</v>
      </c>
      <c r="AC10" s="2"/>
      <c r="AD10" s="2"/>
      <c r="AE10" s="2"/>
      <c r="AF10" s="2"/>
      <c r="AG10" s="2"/>
      <c r="AH10" s="2"/>
      <c r="AI10" s="2"/>
      <c r="AJ10" s="2">
        <v>1</v>
      </c>
      <c r="AK10" s="2">
        <v>4</v>
      </c>
      <c r="AL10" s="2"/>
      <c r="AM10" s="2">
        <f t="shared" si="13"/>
        <v>5</v>
      </c>
      <c r="AN10" s="57" t="str">
        <f>テーブル14[[#This Row],[選手名]]</f>
        <v>近藤大尭</v>
      </c>
      <c r="AO10" s="66">
        <f>テーブル14[[#This Row],[背]]</f>
        <v>17</v>
      </c>
    </row>
    <row r="11" spans="1:41" x14ac:dyDescent="0.7">
      <c r="A11" s="34">
        <f>VLOOKUP(B11,データ!A:B,2,FALSE)</f>
        <v>18</v>
      </c>
      <c r="B11" s="3" t="s">
        <v>262</v>
      </c>
      <c r="C11" s="38">
        <f t="shared" si="0"/>
        <v>0.14285714285714285</v>
      </c>
      <c r="D11" s="38">
        <f t="shared" si="1"/>
        <v>0</v>
      </c>
      <c r="E11" s="38">
        <f t="shared" si="2"/>
        <v>0.29411764705882354</v>
      </c>
      <c r="F11" s="38">
        <f t="shared" si="3"/>
        <v>0.14285714285714285</v>
      </c>
      <c r="G11" s="38">
        <f t="shared" si="4"/>
        <v>0.43697478991596639</v>
      </c>
      <c r="H11" s="38">
        <f t="shared" si="5"/>
        <v>0.75</v>
      </c>
      <c r="I11" s="38" t="str">
        <f t="shared" si="6"/>
        <v/>
      </c>
      <c r="J11" s="38">
        <f t="shared" si="7"/>
        <v>1.7165882352941093</v>
      </c>
      <c r="K11" s="38">
        <f t="shared" si="8"/>
        <v>0.76292810457515969</v>
      </c>
      <c r="L11" s="38">
        <f t="shared" si="9"/>
        <v>5</v>
      </c>
      <c r="M11" s="38">
        <f t="shared" si="10"/>
        <v>2.66</v>
      </c>
      <c r="N11" s="38">
        <f t="shared" si="11"/>
        <v>17</v>
      </c>
      <c r="O11" s="38">
        <f t="shared" si="12"/>
        <v>1</v>
      </c>
      <c r="P11" s="2">
        <v>17</v>
      </c>
      <c r="Q11" s="2">
        <v>14</v>
      </c>
      <c r="R11" s="2">
        <v>2</v>
      </c>
      <c r="S11" s="2">
        <v>5</v>
      </c>
      <c r="T11" s="2"/>
      <c r="U11" s="2">
        <v>2</v>
      </c>
      <c r="V11" s="2"/>
      <c r="W11" s="2"/>
      <c r="X11" s="2"/>
      <c r="Y11" s="2"/>
      <c r="Z11" s="2"/>
      <c r="AA11" s="2">
        <v>1</v>
      </c>
      <c r="AB11" s="2">
        <v>4</v>
      </c>
      <c r="AC11" s="2">
        <v>3</v>
      </c>
      <c r="AD11" s="2"/>
      <c r="AE11" s="2"/>
      <c r="AF11" s="2"/>
      <c r="AG11" s="2"/>
      <c r="AH11" s="2"/>
      <c r="AI11" s="2"/>
      <c r="AJ11" s="2">
        <v>33</v>
      </c>
      <c r="AK11" s="2">
        <v>3</v>
      </c>
      <c r="AL11" s="2"/>
      <c r="AM11" s="2">
        <f t="shared" si="13"/>
        <v>36</v>
      </c>
      <c r="AN11" s="57" t="str">
        <f>テーブル14[[#This Row],[選手名]]</f>
        <v>有村陸</v>
      </c>
      <c r="AO11" s="66">
        <f>テーブル14[[#This Row],[背]]</f>
        <v>18</v>
      </c>
    </row>
    <row r="12" spans="1:41" x14ac:dyDescent="0.7">
      <c r="A12" s="34">
        <f>VLOOKUP(B12,データ!A:B,2,FALSE)</f>
        <v>21</v>
      </c>
      <c r="B12" s="3" t="s">
        <v>231</v>
      </c>
      <c r="C12" s="38">
        <f t="shared" si="0"/>
        <v>0.2</v>
      </c>
      <c r="D12" s="38">
        <f t="shared" si="1"/>
        <v>0.1111111111111111</v>
      </c>
      <c r="E12" s="38">
        <f t="shared" si="2"/>
        <v>0.23809523809523808</v>
      </c>
      <c r="F12" s="38">
        <f t="shared" si="3"/>
        <v>0.4</v>
      </c>
      <c r="G12" s="38">
        <f t="shared" si="4"/>
        <v>0.63809523809523805</v>
      </c>
      <c r="H12" s="38">
        <f t="shared" si="5"/>
        <v>1</v>
      </c>
      <c r="I12" s="38" t="str">
        <f t="shared" si="6"/>
        <v/>
      </c>
      <c r="J12" s="38">
        <f t="shared" si="7"/>
        <v>3.3396607142857149</v>
      </c>
      <c r="K12" s="38">
        <f t="shared" si="8"/>
        <v>1.9790582010582014</v>
      </c>
      <c r="L12" s="38">
        <f t="shared" si="9"/>
        <v>5</v>
      </c>
      <c r="M12" s="38">
        <f t="shared" si="10"/>
        <v>8.23</v>
      </c>
      <c r="N12" s="38">
        <f t="shared" si="11"/>
        <v>21</v>
      </c>
      <c r="O12" s="38">
        <f t="shared" si="12"/>
        <v>0.96296296296296291</v>
      </c>
      <c r="P12" s="2">
        <v>21</v>
      </c>
      <c r="Q12" s="2">
        <v>20</v>
      </c>
      <c r="R12" s="2">
        <v>4</v>
      </c>
      <c r="S12" s="2">
        <v>9</v>
      </c>
      <c r="T12" s="2">
        <v>1</v>
      </c>
      <c r="U12" s="2">
        <v>2</v>
      </c>
      <c r="V12" s="2">
        <v>1</v>
      </c>
      <c r="W12" s="2"/>
      <c r="X12" s="2">
        <v>1</v>
      </c>
      <c r="Y12" s="2"/>
      <c r="Z12" s="2">
        <v>2</v>
      </c>
      <c r="AA12" s="2">
        <v>1</v>
      </c>
      <c r="AB12" s="2">
        <v>1</v>
      </c>
      <c r="AC12" s="2">
        <v>1</v>
      </c>
      <c r="AD12" s="2"/>
      <c r="AE12" s="2"/>
      <c r="AF12" s="2"/>
      <c r="AG12" s="2"/>
      <c r="AH12" s="2"/>
      <c r="AI12" s="2"/>
      <c r="AJ12" s="2">
        <v>21</v>
      </c>
      <c r="AK12" s="2">
        <v>5</v>
      </c>
      <c r="AL12" s="2">
        <v>1</v>
      </c>
      <c r="AM12" s="2">
        <f t="shared" si="13"/>
        <v>27</v>
      </c>
      <c r="AN12" s="57" t="str">
        <f>テーブル14[[#This Row],[選手名]]</f>
        <v>清水大基</v>
      </c>
      <c r="AO12" s="66">
        <f>テーブル14[[#This Row],[背]]</f>
        <v>21</v>
      </c>
    </row>
    <row r="13" spans="1:41" x14ac:dyDescent="0.7">
      <c r="A13" s="34">
        <f>VLOOKUP(B13,データ!A:B,2,FALSE)</f>
        <v>21</v>
      </c>
      <c r="B13" s="3" t="s">
        <v>250</v>
      </c>
      <c r="C13" s="38">
        <f t="shared" si="0"/>
        <v>0.16666666666666666</v>
      </c>
      <c r="D13" s="38">
        <f t="shared" si="1"/>
        <v>0</v>
      </c>
      <c r="E13" s="38">
        <f t="shared" si="2"/>
        <v>0.16666666666666666</v>
      </c>
      <c r="F13" s="38">
        <f t="shared" si="3"/>
        <v>0.16666666666666666</v>
      </c>
      <c r="G13" s="38">
        <f t="shared" si="4"/>
        <v>0.33333333333333331</v>
      </c>
      <c r="H13" s="38">
        <f t="shared" si="5"/>
        <v>0</v>
      </c>
      <c r="I13" s="38" t="str">
        <f t="shared" si="6"/>
        <v/>
      </c>
      <c r="J13" s="38">
        <f t="shared" si="7"/>
        <v>5.3799999999997544E-2</v>
      </c>
      <c r="K13" s="38">
        <f t="shared" si="8"/>
        <v>9.9629629629625072E-3</v>
      </c>
      <c r="L13" s="38">
        <f t="shared" si="9"/>
        <v>1</v>
      </c>
      <c r="M13" s="38">
        <f t="shared" si="10"/>
        <v>0.97</v>
      </c>
      <c r="N13" s="38">
        <f t="shared" si="11"/>
        <v>6</v>
      </c>
      <c r="O13" s="38">
        <f t="shared" si="12"/>
        <v>1</v>
      </c>
      <c r="P13" s="2">
        <v>6</v>
      </c>
      <c r="Q13" s="2">
        <v>6</v>
      </c>
      <c r="R13" s="2">
        <v>1</v>
      </c>
      <c r="S13" s="2">
        <v>1</v>
      </c>
      <c r="T13" s="2"/>
      <c r="U13" s="2">
        <v>1</v>
      </c>
      <c r="V13" s="2"/>
      <c r="W13" s="2"/>
      <c r="X13" s="2"/>
      <c r="Y13" s="2"/>
      <c r="Z13" s="2"/>
      <c r="AA13" s="2"/>
      <c r="AB13" s="2">
        <v>1</v>
      </c>
      <c r="AC13" s="2"/>
      <c r="AD13" s="2"/>
      <c r="AE13" s="2"/>
      <c r="AF13" s="2"/>
      <c r="AG13" s="2"/>
      <c r="AH13" s="2"/>
      <c r="AI13" s="2"/>
      <c r="AJ13" s="2"/>
      <c r="AK13" s="2">
        <v>2</v>
      </c>
      <c r="AL13" s="2"/>
      <c r="AM13" s="2">
        <f t="shared" si="13"/>
        <v>2</v>
      </c>
      <c r="AN13" s="57" t="str">
        <f>テーブル14[[#This Row],[選手名]]</f>
        <v>山内惇寛</v>
      </c>
      <c r="AO13" s="66">
        <f>テーブル14[[#This Row],[背]]</f>
        <v>21</v>
      </c>
    </row>
    <row r="14" spans="1:41" x14ac:dyDescent="0.7">
      <c r="A14" s="34">
        <f>VLOOKUP(B14,データ!A:B,2,FALSE)</f>
        <v>23</v>
      </c>
      <c r="B14" s="3" t="s">
        <v>264</v>
      </c>
      <c r="C14" s="38">
        <f t="shared" si="0"/>
        <v>0.26666666666666666</v>
      </c>
      <c r="D14" s="38">
        <f t="shared" si="1"/>
        <v>0.44444444444444442</v>
      </c>
      <c r="E14" s="38">
        <f t="shared" si="2"/>
        <v>0.3783783783783784</v>
      </c>
      <c r="F14" s="38">
        <f t="shared" si="3"/>
        <v>0.36666666666666664</v>
      </c>
      <c r="G14" s="38">
        <f t="shared" si="4"/>
        <v>0.74504504504504498</v>
      </c>
      <c r="H14" s="38">
        <f t="shared" si="5"/>
        <v>1</v>
      </c>
      <c r="I14" s="38">
        <f t="shared" si="6"/>
        <v>0.66666666666666663</v>
      </c>
      <c r="J14" s="38">
        <f t="shared" si="7"/>
        <v>5.1479166666666627</v>
      </c>
      <c r="K14" s="38">
        <f t="shared" si="8"/>
        <v>4.5759259259259224</v>
      </c>
      <c r="L14" s="38">
        <f t="shared" si="9"/>
        <v>12</v>
      </c>
      <c r="M14" s="38">
        <f t="shared" si="10"/>
        <v>13.75</v>
      </c>
      <c r="N14" s="38">
        <f t="shared" si="11"/>
        <v>36</v>
      </c>
      <c r="O14" s="38">
        <f t="shared" si="12"/>
        <v>0.81818181818181823</v>
      </c>
      <c r="P14" s="2">
        <v>37</v>
      </c>
      <c r="Q14" s="2">
        <v>30</v>
      </c>
      <c r="R14" s="2">
        <v>8</v>
      </c>
      <c r="S14" s="2">
        <v>9</v>
      </c>
      <c r="T14" s="2">
        <v>4</v>
      </c>
      <c r="U14" s="2">
        <v>5</v>
      </c>
      <c r="V14" s="2">
        <v>3</v>
      </c>
      <c r="W14" s="2"/>
      <c r="X14" s="2"/>
      <c r="Y14" s="2">
        <v>3</v>
      </c>
      <c r="Z14" s="2">
        <v>5</v>
      </c>
      <c r="AA14" s="2">
        <v>9</v>
      </c>
      <c r="AB14" s="2">
        <v>3</v>
      </c>
      <c r="AC14" s="2">
        <v>3</v>
      </c>
      <c r="AD14" s="2">
        <v>3</v>
      </c>
      <c r="AE14" s="2">
        <v>1</v>
      </c>
      <c r="AF14" s="2">
        <v>2</v>
      </c>
      <c r="AG14" s="2">
        <v>1</v>
      </c>
      <c r="AH14" s="2"/>
      <c r="AI14" s="2">
        <v>1</v>
      </c>
      <c r="AJ14" s="2">
        <v>14</v>
      </c>
      <c r="AK14" s="2">
        <v>4</v>
      </c>
      <c r="AL14" s="2">
        <v>4</v>
      </c>
      <c r="AM14" s="2">
        <f t="shared" si="13"/>
        <v>22</v>
      </c>
      <c r="AN14" s="57" t="str">
        <f>テーブル14[[#This Row],[選手名]]</f>
        <v>堀江崇太</v>
      </c>
      <c r="AO14" s="66">
        <f>テーブル14[[#This Row],[背]]</f>
        <v>23</v>
      </c>
    </row>
    <row r="15" spans="1:41" x14ac:dyDescent="0.7">
      <c r="A15" s="34">
        <f>VLOOKUP(B15,データ!A:B,2,FALSE)</f>
        <v>25</v>
      </c>
      <c r="B15" s="3" t="s">
        <v>239</v>
      </c>
      <c r="C15" s="38">
        <f t="shared" si="0"/>
        <v>0</v>
      </c>
      <c r="D15" s="38">
        <f t="shared" si="1"/>
        <v>0</v>
      </c>
      <c r="E15" s="38">
        <f t="shared" si="2"/>
        <v>0.25</v>
      </c>
      <c r="F15" s="38">
        <f t="shared" si="3"/>
        <v>0</v>
      </c>
      <c r="G15" s="38">
        <f t="shared" si="4"/>
        <v>0.25</v>
      </c>
      <c r="H15" s="38" t="str">
        <f t="shared" si="5"/>
        <v/>
      </c>
      <c r="I15" s="38" t="str">
        <f t="shared" si="6"/>
        <v/>
      </c>
      <c r="J15" s="38">
        <f t="shared" si="7"/>
        <v>8.8999999999995527E-2</v>
      </c>
      <c r="K15" s="38">
        <f t="shared" si="8"/>
        <v>9.8888888888883919E-3</v>
      </c>
      <c r="L15" s="38">
        <f t="shared" si="9"/>
        <v>1</v>
      </c>
      <c r="M15" s="38">
        <f t="shared" si="10"/>
        <v>0.26</v>
      </c>
      <c r="N15" s="38">
        <f t="shared" si="11"/>
        <v>4</v>
      </c>
      <c r="O15" s="38">
        <f t="shared" si="12"/>
        <v>0.875</v>
      </c>
      <c r="P15" s="2">
        <v>4</v>
      </c>
      <c r="Q15" s="2">
        <v>3</v>
      </c>
      <c r="R15" s="2"/>
      <c r="S15" s="2">
        <v>1</v>
      </c>
      <c r="T15" s="2"/>
      <c r="U15" s="2"/>
      <c r="V15" s="2"/>
      <c r="W15" s="2"/>
      <c r="X15" s="2"/>
      <c r="Y15" s="2"/>
      <c r="Z15" s="2"/>
      <c r="AA15" s="2"/>
      <c r="AB15" s="2"/>
      <c r="AC15" s="2">
        <v>1</v>
      </c>
      <c r="AD15" s="2"/>
      <c r="AE15" s="2"/>
      <c r="AF15" s="2"/>
      <c r="AG15" s="2"/>
      <c r="AH15" s="2"/>
      <c r="AI15" s="2"/>
      <c r="AJ15" s="2">
        <v>1</v>
      </c>
      <c r="AK15" s="2">
        <v>6</v>
      </c>
      <c r="AL15" s="2">
        <v>1</v>
      </c>
      <c r="AM15" s="2">
        <f t="shared" si="13"/>
        <v>8</v>
      </c>
      <c r="AN15" s="57" t="str">
        <f>テーブル14[[#This Row],[選手名]]</f>
        <v>汐田藍斗</v>
      </c>
      <c r="AO15" s="66">
        <f>テーブル14[[#This Row],[背]]</f>
        <v>25</v>
      </c>
    </row>
    <row r="16" spans="1:41" x14ac:dyDescent="0.7">
      <c r="A16" s="34">
        <f>VLOOKUP(B16,データ!A:B,2,FALSE)</f>
        <v>26</v>
      </c>
      <c r="B16" s="3" t="s">
        <v>252</v>
      </c>
      <c r="C16" s="38" t="str">
        <f t="shared" si="0"/>
        <v/>
      </c>
      <c r="D16" s="38" t="str">
        <f t="shared" si="1"/>
        <v/>
      </c>
      <c r="E16" s="38" t="str">
        <f t="shared" si="2"/>
        <v/>
      </c>
      <c r="F16" s="38" t="str">
        <f t="shared" si="3"/>
        <v/>
      </c>
      <c r="G16" s="38" t="str">
        <f t="shared" si="4"/>
        <v/>
      </c>
      <c r="H16" s="38" t="str">
        <f t="shared" si="5"/>
        <v/>
      </c>
      <c r="I16" s="38" t="str">
        <f t="shared" si="6"/>
        <v/>
      </c>
      <c r="J16" s="38" t="str">
        <f t="shared" si="7"/>
        <v/>
      </c>
      <c r="K16" s="38" t="e">
        <f t="shared" si="8"/>
        <v>#DIV/0!</v>
      </c>
      <c r="L16" s="38">
        <f t="shared" si="9"/>
        <v>0</v>
      </c>
      <c r="M16" s="38">
        <f t="shared" si="10"/>
        <v>0</v>
      </c>
      <c r="N16" s="38">
        <f t="shared" si="11"/>
        <v>0</v>
      </c>
      <c r="O16" s="38" t="str">
        <f t="shared" si="12"/>
        <v/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 t="str">
        <f t="shared" si="13"/>
        <v/>
      </c>
      <c r="AN16" s="57" t="str">
        <f>テーブル14[[#This Row],[選手名]]</f>
        <v>森奨真</v>
      </c>
      <c r="AO16" s="66">
        <f>テーブル14[[#This Row],[背]]</f>
        <v>26</v>
      </c>
    </row>
    <row r="17" spans="1:41" x14ac:dyDescent="0.7">
      <c r="A17" s="34">
        <f>VLOOKUP(B17,データ!A:B,2,FALSE)</f>
        <v>33</v>
      </c>
      <c r="B17" s="3" t="s">
        <v>241</v>
      </c>
      <c r="C17" s="38">
        <f t="shared" si="0"/>
        <v>0.22807017543859648</v>
      </c>
      <c r="D17" s="38">
        <f t="shared" si="1"/>
        <v>0.41666666666666669</v>
      </c>
      <c r="E17" s="38">
        <f t="shared" si="2"/>
        <v>0.26666666666666666</v>
      </c>
      <c r="F17" s="38">
        <f t="shared" si="3"/>
        <v>0.2807017543859649</v>
      </c>
      <c r="G17" s="38">
        <f t="shared" si="4"/>
        <v>0.5473684210526315</v>
      </c>
      <c r="H17" s="38">
        <f t="shared" si="5"/>
        <v>0.2857142857142857</v>
      </c>
      <c r="I17" s="38">
        <f t="shared" si="6"/>
        <v>0.75</v>
      </c>
      <c r="J17" s="38">
        <f t="shared" si="7"/>
        <v>2.6665666666666668</v>
      </c>
      <c r="K17" s="38">
        <f t="shared" si="8"/>
        <v>4.4442777777777778</v>
      </c>
      <c r="L17" s="38">
        <f t="shared" si="9"/>
        <v>15</v>
      </c>
      <c r="M17" s="38">
        <f t="shared" si="10"/>
        <v>18.490000000000002</v>
      </c>
      <c r="N17" s="38">
        <f t="shared" si="11"/>
        <v>60</v>
      </c>
      <c r="O17" s="38">
        <f t="shared" si="12"/>
        <v>0.88732394366197187</v>
      </c>
      <c r="P17" s="2">
        <v>60</v>
      </c>
      <c r="Q17" s="2">
        <v>57</v>
      </c>
      <c r="R17" s="2">
        <v>13</v>
      </c>
      <c r="S17" s="2">
        <v>12</v>
      </c>
      <c r="T17" s="2">
        <v>5</v>
      </c>
      <c r="U17" s="2">
        <v>10</v>
      </c>
      <c r="V17" s="2">
        <v>3</v>
      </c>
      <c r="W17" s="2"/>
      <c r="X17" s="2"/>
      <c r="Y17" s="2">
        <v>3</v>
      </c>
      <c r="Z17" s="2">
        <v>5</v>
      </c>
      <c r="AA17" s="2">
        <v>5</v>
      </c>
      <c r="AB17" s="2">
        <v>7</v>
      </c>
      <c r="AC17" s="2">
        <v>2</v>
      </c>
      <c r="AD17" s="2">
        <v>1</v>
      </c>
      <c r="AE17" s="2"/>
      <c r="AF17" s="2">
        <v>3</v>
      </c>
      <c r="AG17" s="2">
        <v>1</v>
      </c>
      <c r="AH17" s="2"/>
      <c r="AI17" s="2"/>
      <c r="AJ17" s="2">
        <v>31</v>
      </c>
      <c r="AK17" s="2">
        <v>32</v>
      </c>
      <c r="AL17" s="2">
        <v>8</v>
      </c>
      <c r="AM17" s="2">
        <f t="shared" si="13"/>
        <v>71</v>
      </c>
      <c r="AN17" s="57" t="str">
        <f>テーブル14[[#This Row],[選手名]]</f>
        <v>福本陽介</v>
      </c>
      <c r="AO17" s="66">
        <f>テーブル14[[#This Row],[背]]</f>
        <v>33</v>
      </c>
    </row>
    <row r="18" spans="1:41" x14ac:dyDescent="0.7">
      <c r="A18" s="34">
        <f>VLOOKUP(B18,データ!A:B,2,FALSE)</f>
        <v>46</v>
      </c>
      <c r="B18" s="3" t="s">
        <v>181</v>
      </c>
      <c r="C18" s="38">
        <f t="shared" si="0"/>
        <v>0.34782608695652173</v>
      </c>
      <c r="D18" s="38">
        <f t="shared" si="1"/>
        <v>0.44444444444444442</v>
      </c>
      <c r="E18" s="38">
        <f t="shared" si="2"/>
        <v>0.5</v>
      </c>
      <c r="F18" s="38">
        <f t="shared" si="3"/>
        <v>0.39130434782608697</v>
      </c>
      <c r="G18" s="38">
        <f t="shared" si="4"/>
        <v>0.89130434782608692</v>
      </c>
      <c r="H18" s="38">
        <f t="shared" si="5"/>
        <v>2</v>
      </c>
      <c r="I18" s="38">
        <f t="shared" si="6"/>
        <v>1</v>
      </c>
      <c r="J18" s="38">
        <f t="shared" si="7"/>
        <v>10.194600000000008</v>
      </c>
      <c r="K18" s="38">
        <f t="shared" si="8"/>
        <v>5.6636666666666713</v>
      </c>
      <c r="L18" s="38">
        <f t="shared" si="9"/>
        <v>15</v>
      </c>
      <c r="M18" s="38">
        <f t="shared" si="10"/>
        <v>11.370000000000001</v>
      </c>
      <c r="N18" s="38">
        <f t="shared" si="11"/>
        <v>30</v>
      </c>
      <c r="O18" s="38">
        <f t="shared" si="12"/>
        <v>0.95238095238095233</v>
      </c>
      <c r="P18" s="2">
        <v>30</v>
      </c>
      <c r="Q18" s="2">
        <v>23</v>
      </c>
      <c r="R18" s="2">
        <v>8</v>
      </c>
      <c r="S18" s="2">
        <v>9</v>
      </c>
      <c r="T18" s="2">
        <v>4</v>
      </c>
      <c r="U18" s="2">
        <v>7</v>
      </c>
      <c r="V18" s="2">
        <v>1</v>
      </c>
      <c r="W18" s="2"/>
      <c r="X18" s="2"/>
      <c r="Y18" s="2">
        <v>3</v>
      </c>
      <c r="Z18" s="2">
        <v>2</v>
      </c>
      <c r="AA18" s="2">
        <v>1</v>
      </c>
      <c r="AB18" s="2">
        <v>3</v>
      </c>
      <c r="AC18" s="2">
        <v>6</v>
      </c>
      <c r="AD18" s="2">
        <v>1</v>
      </c>
      <c r="AE18" s="2"/>
      <c r="AF18" s="2">
        <v>1</v>
      </c>
      <c r="AG18" s="2"/>
      <c r="AH18" s="2"/>
      <c r="AI18" s="2"/>
      <c r="AJ18" s="2">
        <v>31</v>
      </c>
      <c r="AK18" s="2">
        <v>9</v>
      </c>
      <c r="AL18" s="2">
        <v>2</v>
      </c>
      <c r="AM18" s="2">
        <f t="shared" si="13"/>
        <v>42</v>
      </c>
      <c r="AN18" s="57" t="str">
        <f>テーブル14[[#This Row],[選手名]]</f>
        <v>安井理一郎</v>
      </c>
      <c r="AO18" s="66">
        <f>テーブル14[[#This Row],[背]]</f>
        <v>46</v>
      </c>
    </row>
    <row r="19" spans="1:41" x14ac:dyDescent="0.7">
      <c r="A19" s="34">
        <f>VLOOKUP(B19,データ!A:B,2,FALSE)</f>
        <v>47</v>
      </c>
      <c r="B19" s="3" t="s">
        <v>258</v>
      </c>
      <c r="C19" s="38">
        <f t="shared" si="0"/>
        <v>0.16666666666666666</v>
      </c>
      <c r="D19" s="38">
        <f t="shared" si="1"/>
        <v>0</v>
      </c>
      <c r="E19" s="38">
        <f t="shared" si="2"/>
        <v>0.16666666666666666</v>
      </c>
      <c r="F19" s="38">
        <f t="shared" si="3"/>
        <v>0.16666666666666666</v>
      </c>
      <c r="G19" s="38">
        <f t="shared" si="4"/>
        <v>0.33333333333333331</v>
      </c>
      <c r="H19" s="38">
        <f t="shared" si="5"/>
        <v>0</v>
      </c>
      <c r="I19" s="38" t="str">
        <f t="shared" si="6"/>
        <v/>
      </c>
      <c r="J19" s="38">
        <f t="shared" si="7"/>
        <v>-3.8600000000003479E-2</v>
      </c>
      <c r="K19" s="38">
        <f t="shared" si="8"/>
        <v>-7.1481481481487918E-3</v>
      </c>
      <c r="L19" s="38">
        <f t="shared" si="9"/>
        <v>1</v>
      </c>
      <c r="M19" s="38">
        <f t="shared" si="10"/>
        <v>0.91</v>
      </c>
      <c r="N19" s="38">
        <f t="shared" si="11"/>
        <v>6</v>
      </c>
      <c r="O19" s="38">
        <f t="shared" si="12"/>
        <v>0</v>
      </c>
      <c r="P19" s="2">
        <v>6</v>
      </c>
      <c r="Q19" s="2">
        <v>6</v>
      </c>
      <c r="R19" s="2">
        <v>1</v>
      </c>
      <c r="S19" s="2">
        <v>1</v>
      </c>
      <c r="T19" s="2"/>
      <c r="U19" s="2">
        <v>1</v>
      </c>
      <c r="V19" s="2"/>
      <c r="W19" s="2"/>
      <c r="X19" s="2"/>
      <c r="Y19" s="2"/>
      <c r="Z19" s="2"/>
      <c r="AA19" s="2"/>
      <c r="AB19" s="2">
        <v>3</v>
      </c>
      <c r="AC19" s="2"/>
      <c r="AD19" s="2"/>
      <c r="AE19" s="2"/>
      <c r="AF19" s="2"/>
      <c r="AG19" s="2"/>
      <c r="AH19" s="2"/>
      <c r="AI19" s="2"/>
      <c r="AJ19" s="2"/>
      <c r="AK19" s="2"/>
      <c r="AL19" s="2">
        <v>1</v>
      </c>
      <c r="AM19" s="2">
        <f t="shared" si="13"/>
        <v>1</v>
      </c>
      <c r="AN19" s="57" t="str">
        <f>テーブル14[[#This Row],[選手名]]</f>
        <v>簾圭智</v>
      </c>
      <c r="AO19" s="66">
        <f>テーブル14[[#This Row],[背]]</f>
        <v>47</v>
      </c>
    </row>
    <row r="20" spans="1:41" x14ac:dyDescent="0.7">
      <c r="A20" s="34">
        <f>VLOOKUP(B20,データ!A:B,2,FALSE)</f>
        <v>50</v>
      </c>
      <c r="B20" s="3" t="s">
        <v>243</v>
      </c>
      <c r="C20" s="38">
        <f t="shared" si="0"/>
        <v>0.05</v>
      </c>
      <c r="D20" s="38">
        <f t="shared" si="1"/>
        <v>0</v>
      </c>
      <c r="E20" s="38">
        <f t="shared" si="2"/>
        <v>9.5238095238095233E-2</v>
      </c>
      <c r="F20" s="38">
        <f t="shared" si="3"/>
        <v>0.05</v>
      </c>
      <c r="G20" s="38">
        <f t="shared" si="4"/>
        <v>0.14523809523809522</v>
      </c>
      <c r="H20" s="38">
        <f t="shared" si="5"/>
        <v>0.25</v>
      </c>
      <c r="I20" s="38" t="str">
        <f t="shared" si="6"/>
        <v/>
      </c>
      <c r="J20" s="38">
        <f t="shared" si="7"/>
        <v>-1.5876992481203014</v>
      </c>
      <c r="K20" s="38">
        <f t="shared" si="8"/>
        <v>-1.1172698412698416</v>
      </c>
      <c r="L20" s="38">
        <f t="shared" si="9"/>
        <v>2</v>
      </c>
      <c r="M20" s="38">
        <f t="shared" si="10"/>
        <v>1.1400000000000001</v>
      </c>
      <c r="N20" s="38">
        <f t="shared" si="11"/>
        <v>21</v>
      </c>
      <c r="O20" s="38">
        <f t="shared" si="12"/>
        <v>0.96551724137931039</v>
      </c>
      <c r="P20" s="2">
        <v>21</v>
      </c>
      <c r="Q20" s="2">
        <v>20</v>
      </c>
      <c r="R20" s="2">
        <v>1</v>
      </c>
      <c r="S20" s="2">
        <v>5</v>
      </c>
      <c r="T20" s="2"/>
      <c r="U20" s="2">
        <v>1</v>
      </c>
      <c r="V20" s="2"/>
      <c r="W20" s="2"/>
      <c r="X20" s="2"/>
      <c r="Y20" s="2">
        <v>1</v>
      </c>
      <c r="Z20" s="2"/>
      <c r="AA20" s="2">
        <v>1</v>
      </c>
      <c r="AB20" s="2">
        <v>4</v>
      </c>
      <c r="AC20" s="2">
        <v>1</v>
      </c>
      <c r="AD20" s="2"/>
      <c r="AE20" s="2"/>
      <c r="AF20" s="2"/>
      <c r="AG20" s="2"/>
      <c r="AH20" s="2"/>
      <c r="AI20" s="2"/>
      <c r="AJ20" s="2">
        <v>27</v>
      </c>
      <c r="AK20" s="2">
        <v>1</v>
      </c>
      <c r="AL20" s="2">
        <v>1</v>
      </c>
      <c r="AM20" s="2">
        <f t="shared" si="13"/>
        <v>29</v>
      </c>
      <c r="AN20" s="57" t="str">
        <f>テーブル14[[#This Row],[選手名]]</f>
        <v>陣内勇冴</v>
      </c>
      <c r="AO20" s="66">
        <f>テーブル14[[#This Row],[背]]</f>
        <v>50</v>
      </c>
    </row>
    <row r="21" spans="1:41" x14ac:dyDescent="0.7">
      <c r="A21" s="34">
        <f>VLOOKUP(B21,データ!A:B,2,FALSE)</f>
        <v>51</v>
      </c>
      <c r="B21" s="3" t="s">
        <v>245</v>
      </c>
      <c r="C21" s="38">
        <f t="shared" si="0"/>
        <v>0.10526315789473684</v>
      </c>
      <c r="D21" s="38">
        <f t="shared" si="1"/>
        <v>0.14285714285714285</v>
      </c>
      <c r="E21" s="38">
        <f t="shared" si="2"/>
        <v>0.22727272727272727</v>
      </c>
      <c r="F21" s="38">
        <f t="shared" si="3"/>
        <v>0.10526315789473684</v>
      </c>
      <c r="G21" s="38">
        <f t="shared" si="4"/>
        <v>0.33253588516746413</v>
      </c>
      <c r="H21" s="38">
        <f t="shared" si="5"/>
        <v>0.33333333333333331</v>
      </c>
      <c r="I21" s="38" t="str">
        <f t="shared" si="6"/>
        <v/>
      </c>
      <c r="J21" s="38">
        <f t="shared" si="7"/>
        <v>0.31666844919786036</v>
      </c>
      <c r="K21" s="38">
        <f t="shared" si="8"/>
        <v>0.199383838383838</v>
      </c>
      <c r="L21" s="38">
        <f t="shared" si="9"/>
        <v>5</v>
      </c>
      <c r="M21" s="38">
        <f t="shared" si="10"/>
        <v>2.5100000000000002</v>
      </c>
      <c r="N21" s="38">
        <f t="shared" si="11"/>
        <v>22</v>
      </c>
      <c r="O21" s="38">
        <f t="shared" si="12"/>
        <v>1</v>
      </c>
      <c r="P21" s="2">
        <v>22</v>
      </c>
      <c r="Q21" s="2">
        <v>19</v>
      </c>
      <c r="R21" s="2">
        <v>2</v>
      </c>
      <c r="S21" s="2">
        <v>7</v>
      </c>
      <c r="T21" s="2">
        <v>1</v>
      </c>
      <c r="U21" s="2">
        <v>2</v>
      </c>
      <c r="V21" s="2"/>
      <c r="W21" s="2"/>
      <c r="X21" s="2"/>
      <c r="Y21" s="2">
        <v>3</v>
      </c>
      <c r="Z21" s="2">
        <v>2</v>
      </c>
      <c r="AA21" s="2">
        <v>2</v>
      </c>
      <c r="AB21" s="2">
        <v>9</v>
      </c>
      <c r="AC21" s="2">
        <v>3</v>
      </c>
      <c r="AD21" s="2"/>
      <c r="AE21" s="2"/>
      <c r="AF21" s="2"/>
      <c r="AG21" s="2"/>
      <c r="AH21" s="2"/>
      <c r="AI21" s="2"/>
      <c r="AJ21" s="2">
        <v>5</v>
      </c>
      <c r="AK21" s="2">
        <v>5</v>
      </c>
      <c r="AL21" s="2"/>
      <c r="AM21" s="2">
        <f t="shared" si="13"/>
        <v>10</v>
      </c>
      <c r="AN21" s="57" t="str">
        <f>テーブル14[[#This Row],[選手名]]</f>
        <v>坂元勇斗</v>
      </c>
      <c r="AO21" s="66">
        <f>テーブル14[[#This Row],[背]]</f>
        <v>51</v>
      </c>
    </row>
    <row r="22" spans="1:41" x14ac:dyDescent="0.7">
      <c r="A22" s="34">
        <f>VLOOKUP(B22,データ!A:B,2,FALSE)</f>
        <v>53</v>
      </c>
      <c r="B22" s="3" t="s">
        <v>259</v>
      </c>
      <c r="C22" s="38">
        <f t="shared" si="0"/>
        <v>0.35294117647058826</v>
      </c>
      <c r="D22" s="38">
        <f t="shared" si="1"/>
        <v>0.53846153846153844</v>
      </c>
      <c r="E22" s="38">
        <f t="shared" si="2"/>
        <v>0.4107142857142857</v>
      </c>
      <c r="F22" s="38">
        <f t="shared" si="3"/>
        <v>0.43137254901960786</v>
      </c>
      <c r="G22" s="38">
        <f t="shared" si="4"/>
        <v>0.84208683473389356</v>
      </c>
      <c r="H22" s="38">
        <f t="shared" si="5"/>
        <v>0.5</v>
      </c>
      <c r="I22" s="38" t="str">
        <f t="shared" si="6"/>
        <v/>
      </c>
      <c r="J22" s="38">
        <f t="shared" si="7"/>
        <v>7.5831883116883132</v>
      </c>
      <c r="K22" s="38">
        <f t="shared" si="8"/>
        <v>9.2683412698412724</v>
      </c>
      <c r="L22" s="38">
        <f t="shared" si="9"/>
        <v>23</v>
      </c>
      <c r="M22" s="38">
        <f t="shared" si="10"/>
        <v>23.060000000000002</v>
      </c>
      <c r="N22" s="38">
        <f t="shared" si="11"/>
        <v>56</v>
      </c>
      <c r="O22" s="38">
        <f t="shared" si="12"/>
        <v>0.77777777777777779</v>
      </c>
      <c r="P22" s="2">
        <v>56</v>
      </c>
      <c r="Q22" s="2">
        <v>51</v>
      </c>
      <c r="R22" s="2">
        <v>18</v>
      </c>
      <c r="S22" s="2">
        <v>13</v>
      </c>
      <c r="T22" s="2">
        <v>7</v>
      </c>
      <c r="U22" s="2">
        <v>15</v>
      </c>
      <c r="V22" s="2">
        <v>2</v>
      </c>
      <c r="W22" s="2">
        <v>1</v>
      </c>
      <c r="X22" s="2"/>
      <c r="Y22" s="2">
        <v>9</v>
      </c>
      <c r="Z22" s="2">
        <v>5</v>
      </c>
      <c r="AA22" s="2">
        <v>7</v>
      </c>
      <c r="AB22" s="2">
        <v>8</v>
      </c>
      <c r="AC22" s="2">
        <v>4</v>
      </c>
      <c r="AD22" s="2">
        <v>1</v>
      </c>
      <c r="AE22" s="2"/>
      <c r="AF22" s="2"/>
      <c r="AG22" s="2"/>
      <c r="AH22" s="2"/>
      <c r="AI22" s="2"/>
      <c r="AJ22" s="2">
        <v>10</v>
      </c>
      <c r="AK22" s="2">
        <v>4</v>
      </c>
      <c r="AL22" s="2">
        <v>4</v>
      </c>
      <c r="AM22" s="2">
        <f t="shared" si="13"/>
        <v>18</v>
      </c>
      <c r="AN22" s="57" t="str">
        <f>テーブル14[[#This Row],[選手名]]</f>
        <v>赤星圭一</v>
      </c>
      <c r="AO22" s="66">
        <f>テーブル14[[#This Row],[背]]</f>
        <v>53</v>
      </c>
    </row>
    <row r="23" spans="1:41" x14ac:dyDescent="0.7">
      <c r="A23" s="34">
        <f>VLOOKUP(B23,データ!A:B,2,FALSE)</f>
        <v>85</v>
      </c>
      <c r="B23" s="3" t="s">
        <v>266</v>
      </c>
      <c r="C23" s="38">
        <f t="shared" si="0"/>
        <v>0</v>
      </c>
      <c r="D23" s="38" t="str">
        <f t="shared" si="1"/>
        <v/>
      </c>
      <c r="E23" s="38">
        <f t="shared" si="2"/>
        <v>0</v>
      </c>
      <c r="F23" s="38">
        <f t="shared" si="3"/>
        <v>0</v>
      </c>
      <c r="G23" s="38">
        <f t="shared" si="4"/>
        <v>0</v>
      </c>
      <c r="H23" s="38">
        <f t="shared" si="5"/>
        <v>0</v>
      </c>
      <c r="I23" s="38" t="str">
        <f t="shared" si="6"/>
        <v/>
      </c>
      <c r="J23" s="38">
        <f t="shared" si="7"/>
        <v>-2.9159999999999995</v>
      </c>
      <c r="K23" s="38">
        <f t="shared" si="8"/>
        <v>-0.10799999999999998</v>
      </c>
      <c r="L23" s="38">
        <f t="shared" si="9"/>
        <v>0</v>
      </c>
      <c r="M23" s="38">
        <f t="shared" si="10"/>
        <v>-0.03</v>
      </c>
      <c r="N23" s="38">
        <f t="shared" si="11"/>
        <v>1</v>
      </c>
      <c r="O23" s="38" t="str">
        <f t="shared" si="12"/>
        <v/>
      </c>
      <c r="P23" s="2">
        <v>1</v>
      </c>
      <c r="Q23" s="2">
        <v>1</v>
      </c>
      <c r="R23" s="2"/>
      <c r="S23" s="2"/>
      <c r="T23" s="2"/>
      <c r="U23" s="2"/>
      <c r="V23" s="2"/>
      <c r="W23" s="2"/>
      <c r="X23" s="2"/>
      <c r="Y23" s="2"/>
      <c r="Z23" s="2"/>
      <c r="AA23" s="2"/>
      <c r="AB23" s="2">
        <v>1</v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 t="str">
        <f t="shared" si="13"/>
        <v/>
      </c>
      <c r="AN23" s="57" t="str">
        <f>テーブル14[[#This Row],[選手名]]</f>
        <v>渡邊琥心</v>
      </c>
      <c r="AO23" s="66">
        <f>テーブル14[[#This Row],[背]]</f>
        <v>85</v>
      </c>
    </row>
    <row r="24" spans="1:41" x14ac:dyDescent="0.7">
      <c r="A24" s="67">
        <f>VLOOKUP(B24,データ!A:B,2,FALSE)</f>
        <v>99</v>
      </c>
      <c r="B24" s="64" t="s">
        <v>247</v>
      </c>
      <c r="C24" s="69">
        <f t="shared" si="0"/>
        <v>8.3333333333333329E-2</v>
      </c>
      <c r="D24" s="69">
        <f t="shared" si="1"/>
        <v>0.16666666666666666</v>
      </c>
      <c r="E24" s="69">
        <f t="shared" si="2"/>
        <v>0.1951219512195122</v>
      </c>
      <c r="F24" s="69">
        <f t="shared" si="3"/>
        <v>8.3333333333333329E-2</v>
      </c>
      <c r="G24" s="69">
        <f t="shared" si="4"/>
        <v>0.27845528455284552</v>
      </c>
      <c r="H24" s="69">
        <f t="shared" si="5"/>
        <v>0.3125</v>
      </c>
      <c r="I24" s="69">
        <f t="shared" si="6"/>
        <v>0.5</v>
      </c>
      <c r="J24" s="69">
        <f t="shared" si="7"/>
        <v>-0.39128263988522499</v>
      </c>
      <c r="K24" s="69">
        <f t="shared" si="8"/>
        <v>-0.49272628726287593</v>
      </c>
      <c r="L24" s="69">
        <f t="shared" si="9"/>
        <v>7</v>
      </c>
      <c r="M24" s="69">
        <f t="shared" si="10"/>
        <v>4.4599999999999991</v>
      </c>
      <c r="N24" s="69">
        <f t="shared" si="11"/>
        <v>41</v>
      </c>
      <c r="O24" s="69">
        <f t="shared" si="12"/>
        <v>0.88372093023255816</v>
      </c>
      <c r="P24" s="68">
        <v>41</v>
      </c>
      <c r="Q24" s="68">
        <v>36</v>
      </c>
      <c r="R24" s="68">
        <v>3</v>
      </c>
      <c r="S24" s="68">
        <v>12</v>
      </c>
      <c r="T24" s="68">
        <v>2</v>
      </c>
      <c r="U24" s="68">
        <v>3</v>
      </c>
      <c r="V24" s="68"/>
      <c r="W24" s="68"/>
      <c r="X24" s="68"/>
      <c r="Y24" s="68">
        <v>3</v>
      </c>
      <c r="Z24" s="68">
        <v>1</v>
      </c>
      <c r="AA24" s="68">
        <v>1</v>
      </c>
      <c r="AB24" s="68">
        <v>16</v>
      </c>
      <c r="AC24" s="68">
        <v>5</v>
      </c>
      <c r="AD24" s="68"/>
      <c r="AE24" s="68"/>
      <c r="AF24" s="68">
        <v>1</v>
      </c>
      <c r="AG24" s="68">
        <v>1</v>
      </c>
      <c r="AH24" s="68"/>
      <c r="AI24" s="68"/>
      <c r="AJ24" s="68">
        <v>26</v>
      </c>
      <c r="AK24" s="68">
        <v>12</v>
      </c>
      <c r="AL24" s="68">
        <v>5</v>
      </c>
      <c r="AM24" s="68">
        <f t="shared" si="13"/>
        <v>43</v>
      </c>
      <c r="AN24" s="70" t="str">
        <f>テーブル14[[#This Row],[選手名]]</f>
        <v>片山大翔</v>
      </c>
      <c r="AO24" s="71">
        <f>テーブル14[[#This Row],[背]]</f>
        <v>99</v>
      </c>
    </row>
    <row r="25" spans="1:41" s="20" customFormat="1" x14ac:dyDescent="0.7">
      <c r="A25" s="1"/>
      <c r="B25" s="6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39"/>
      <c r="AO25" s="60"/>
    </row>
    <row r="26" spans="1:41" s="53" customFormat="1" x14ac:dyDescent="0.7">
      <c r="A26" s="50"/>
      <c r="B26" s="51" t="s">
        <v>270</v>
      </c>
      <c r="C26" s="52">
        <f t="shared" ref="C26" si="14">IFERROR(R26/Q26,"")</f>
        <v>0.18723404255319148</v>
      </c>
      <c r="D26" s="52">
        <f t="shared" ref="D26" si="15">IFERROR(T26/S26,"")</f>
        <v>0.20895522388059701</v>
      </c>
      <c r="E26" s="52">
        <f t="shared" ref="E26" si="16">IFERROR((R26+AC26+AD26)/(Q26+AC26+AD26+AI26),"")</f>
        <v>0.28358208955223879</v>
      </c>
      <c r="F26" s="52">
        <f t="shared" ref="F26" si="17">IFERROR((U26+V26*2+W26*3+X26*4)/Q26,"")</f>
        <v>0.2276595744680851</v>
      </c>
      <c r="G26" s="52">
        <f t="shared" ref="G26" si="18">IFERROR(E26+F26,"")</f>
        <v>0.51124166402032389</v>
      </c>
      <c r="H26" s="52">
        <f t="shared" ref="H26" si="19">IFERROR(AC26/AB26,"")</f>
        <v>0.46218487394957986</v>
      </c>
      <c r="I26" s="52">
        <f t="shared" ref="I26" si="20">IFERROR(AF26/(AF26+AG26),"")</f>
        <v>0.66666666666666663</v>
      </c>
      <c r="J26" s="52">
        <f t="shared" ref="J26" si="21">IFERROR(K26/(Q26-R26+AG26+AH26+AE26)*27,"")</f>
        <v>2.258381269547086</v>
      </c>
      <c r="K26" s="52">
        <f t="shared" ref="K26" si="22">((2.4*N26+L26)*(3*N26+M26)/(9*N26))-0.9*N26</f>
        <v>32.453775280898867</v>
      </c>
      <c r="L26" s="52">
        <f t="shared" ref="L26" si="23">R26+AC26+AD26-AG26-AE26</f>
        <v>146</v>
      </c>
      <c r="M26" s="52">
        <f t="shared" ref="M26" si="24">(U26+V26*2+W26*3+X26*4)+0.26*(AC26+AD26)+0.53*AH26+0.64*AF26-0.03*AB26</f>
        <v>125.19</v>
      </c>
      <c r="N26" s="52">
        <f t="shared" ref="N26" si="25">Q26+AC26+AD26+AH26</f>
        <v>534</v>
      </c>
      <c r="O26" s="52">
        <f t="shared" ref="O26" si="26">IFERROR((AJ26+AK26)/AM26,"")</f>
        <v>0.89636363636363636</v>
      </c>
      <c r="P26" s="50">
        <f>SUM(テーブル14[打
席])</f>
        <v>536</v>
      </c>
      <c r="Q26" s="50">
        <f>SUM(テーブル14[打
数])</f>
        <v>470</v>
      </c>
      <c r="R26" s="50">
        <f>SUM(テーブル14[安
打])</f>
        <v>88</v>
      </c>
      <c r="S26" s="50">
        <f>SUM(テーブル14[得
点
圏
打
数])</f>
        <v>134</v>
      </c>
      <c r="T26" s="50">
        <f>SUM(テーブル14[得
点
圏
安
打])</f>
        <v>28</v>
      </c>
      <c r="U26" s="50">
        <f>SUM(テーブル14[一
塁
打])</f>
        <v>72</v>
      </c>
      <c r="V26" s="50">
        <f>SUM(テーブル14[二
塁
打])</f>
        <v>14</v>
      </c>
      <c r="W26" s="50">
        <f>SUM(テーブル14[三
塁
打])</f>
        <v>1</v>
      </c>
      <c r="X26" s="50">
        <f>SUM(テーブル14[本
塁
打])</f>
        <v>1</v>
      </c>
      <c r="Y26" s="50">
        <f>SUM(テーブル14[エ
ラ
ー
関
連])</f>
        <v>36</v>
      </c>
      <c r="Z26" s="50">
        <f>SUM(テーブル14[打
点])</f>
        <v>28</v>
      </c>
      <c r="AA26" s="50">
        <f>SUM(テーブル14[得
点])</f>
        <v>39</v>
      </c>
      <c r="AB26" s="50">
        <f>SUM(テーブル14[三
振])</f>
        <v>119</v>
      </c>
      <c r="AC26" s="50">
        <f>SUM(テーブル14[四
球])</f>
        <v>55</v>
      </c>
      <c r="AD26" s="50">
        <f>SUM(テーブル14[死
球])</f>
        <v>9</v>
      </c>
      <c r="AE26" s="50">
        <f>SUM(テーブル14[併
殺])</f>
        <v>2</v>
      </c>
      <c r="AF26" s="50">
        <f>SUM(テーブル14[盗
塁])</f>
        <v>8</v>
      </c>
      <c r="AG26" s="50">
        <f>SUM(テーブル14[盗
塁
死])</f>
        <v>4</v>
      </c>
      <c r="AH26" s="50">
        <f>SUM(テーブル14[犠
打])</f>
        <v>0</v>
      </c>
      <c r="AI26" s="50">
        <f>SUM(テーブル14[犠
飛])</f>
        <v>2</v>
      </c>
      <c r="AJ26" s="50">
        <f>SUM(テーブル14[刺
殺])</f>
        <v>349</v>
      </c>
      <c r="AK26" s="50">
        <f>SUM(テーブル14[捕
殺])</f>
        <v>144</v>
      </c>
      <c r="AL26" s="50">
        <f>SUM(テーブル14[失
策])</f>
        <v>57</v>
      </c>
      <c r="AM26" s="50">
        <f>SUM(テーブル14[守
備
機
会])</f>
        <v>550</v>
      </c>
      <c r="AN26" s="58"/>
      <c r="AO26" s="62"/>
    </row>
    <row r="27" spans="1:41" s="53" customFormat="1" x14ac:dyDescent="0.7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8"/>
      <c r="AO27" s="62"/>
    </row>
    <row r="28" spans="1:41" s="53" customFormat="1" x14ac:dyDescent="0.7">
      <c r="A28" s="50"/>
      <c r="B28" s="51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8"/>
      <c r="AO28" s="62"/>
    </row>
    <row r="29" spans="1:41" s="53" customFormat="1" x14ac:dyDescent="0.7">
      <c r="A29" s="50"/>
      <c r="B29" s="51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0"/>
      <c r="P29" s="50"/>
      <c r="Q29" s="50"/>
      <c r="R29" s="50"/>
      <c r="S29" s="50"/>
      <c r="T29" s="50"/>
      <c r="U29" s="58"/>
      <c r="V29" s="62"/>
    </row>
    <row r="30" spans="1:41" s="53" customFormat="1" x14ac:dyDescent="0.7">
      <c r="A30" s="50"/>
      <c r="B30" s="51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8"/>
      <c r="AO30" s="62"/>
    </row>
    <row r="31" spans="1:41" ht="70.5" x14ac:dyDescent="0.7">
      <c r="A31" s="3" t="s">
        <v>17</v>
      </c>
      <c r="B31" s="3" t="s">
        <v>16</v>
      </c>
      <c r="C31" s="45" t="s">
        <v>129</v>
      </c>
      <c r="D31" s="45" t="s">
        <v>130</v>
      </c>
      <c r="E31" s="45" t="s">
        <v>131</v>
      </c>
      <c r="F31" s="45" t="s">
        <v>133</v>
      </c>
      <c r="G31" s="45" t="s">
        <v>135</v>
      </c>
      <c r="H31" s="45" t="s">
        <v>136</v>
      </c>
      <c r="I31" s="45" t="s">
        <v>138</v>
      </c>
      <c r="J31" s="46" t="s">
        <v>218</v>
      </c>
      <c r="K31" s="46" t="s">
        <v>219</v>
      </c>
      <c r="L31" s="46" t="s">
        <v>220</v>
      </c>
      <c r="M31" s="46" t="s">
        <v>221</v>
      </c>
      <c r="N31" s="46" t="s">
        <v>222</v>
      </c>
      <c r="O31" s="46" t="s">
        <v>223</v>
      </c>
      <c r="P31" s="5" t="s">
        <v>336</v>
      </c>
      <c r="Q31" s="5" t="s">
        <v>337</v>
      </c>
      <c r="R31" s="5" t="s">
        <v>338</v>
      </c>
      <c r="S31" s="5" t="s">
        <v>339</v>
      </c>
      <c r="T31" s="5" t="s">
        <v>340</v>
      </c>
      <c r="U31" s="5" t="s">
        <v>341</v>
      </c>
      <c r="V31" s="5" t="s">
        <v>342</v>
      </c>
      <c r="W31" s="5" t="s">
        <v>343</v>
      </c>
      <c r="X31" s="5" t="s">
        <v>344</v>
      </c>
      <c r="Y31" s="5" t="s">
        <v>345</v>
      </c>
      <c r="Z31" s="5" t="s">
        <v>188</v>
      </c>
      <c r="AA31" s="5" t="s">
        <v>346</v>
      </c>
      <c r="AB31" s="5" t="s">
        <v>347</v>
      </c>
      <c r="AC31" s="5" t="s">
        <v>348</v>
      </c>
      <c r="AD31" s="5" t="s">
        <v>349</v>
      </c>
      <c r="AE31" s="5" t="s">
        <v>350</v>
      </c>
      <c r="AF31" s="5" t="s">
        <v>351</v>
      </c>
      <c r="AG31" s="63" t="s">
        <v>332</v>
      </c>
      <c r="AH31" s="63" t="s">
        <v>281</v>
      </c>
      <c r="AI31" s="63" t="s">
        <v>282</v>
      </c>
      <c r="AJ31" s="63" t="s">
        <v>283</v>
      </c>
      <c r="AK31" s="63" t="s">
        <v>284</v>
      </c>
      <c r="AL31" s="63" t="s">
        <v>285</v>
      </c>
      <c r="AM31" s="63" t="s">
        <v>286</v>
      </c>
      <c r="AN31" s="5" t="s">
        <v>279</v>
      </c>
      <c r="AO31" s="5" t="s">
        <v>280</v>
      </c>
    </row>
    <row r="32" spans="1:41" x14ac:dyDescent="0.7">
      <c r="A32" s="2">
        <f>A2</f>
        <v>1</v>
      </c>
      <c r="B32" s="3" t="str">
        <f>B2</f>
        <v>友野水葉</v>
      </c>
      <c r="C32" s="38">
        <f t="shared" ref="C32:C54" si="27">IFERROR((Y32*7)/V32,"")</f>
        <v>3.2550000000000003</v>
      </c>
      <c r="D32" s="38">
        <f t="shared" ref="D32:D54" si="28">IFERROR(Q32/(Q32+R32),"")</f>
        <v>0.18181818181818182</v>
      </c>
      <c r="E32" s="38">
        <f t="shared" ref="E32:E54" si="29">IFERROR(AE32/(Z32-AB32-AC32-AD32),"")</f>
        <v>0.24264705882352941</v>
      </c>
      <c r="F32" s="38">
        <f t="shared" ref="F32:F54" si="30">IFERROR((AF32*13+(AB32+AC32)*3-AA32*2)/(U32+V32)+3.12,"")</f>
        <v>5.4150000000000009</v>
      </c>
      <c r="G32" s="38">
        <f t="shared" ref="G32:G54" si="31">IFERROR((AE32+AB32)/V32,"")</f>
        <v>1.5750000000000002</v>
      </c>
      <c r="H32" s="38">
        <f t="shared" ref="H32:H54" si="32">IFERROR(AA32*7/V32,"")</f>
        <v>2.9400000000000004</v>
      </c>
      <c r="I32" s="38">
        <f t="shared" ref="I32:I54" si="33">IFERROR(AA32/AB32,"")</f>
        <v>0.71794871794871795</v>
      </c>
      <c r="P32" s="2">
        <v>14</v>
      </c>
      <c r="Q32" s="2">
        <v>2</v>
      </c>
      <c r="R32" s="2">
        <v>9</v>
      </c>
      <c r="S32" s="2"/>
      <c r="T32" s="2">
        <v>2</v>
      </c>
      <c r="U32" s="2"/>
      <c r="V32" s="37">
        <v>66.666666666666657</v>
      </c>
      <c r="W32" s="2">
        <v>1033</v>
      </c>
      <c r="X32" s="2">
        <v>62</v>
      </c>
      <c r="Y32" s="2">
        <v>31</v>
      </c>
      <c r="Z32" s="2">
        <v>326</v>
      </c>
      <c r="AA32" s="2">
        <v>28</v>
      </c>
      <c r="AB32" s="2">
        <v>39</v>
      </c>
      <c r="AC32" s="2">
        <v>9</v>
      </c>
      <c r="AD32" s="2">
        <v>6</v>
      </c>
      <c r="AE32" s="2">
        <v>66</v>
      </c>
      <c r="AF32" s="2">
        <v>5</v>
      </c>
      <c r="AG32" s="56"/>
      <c r="AH32" s="56"/>
      <c r="AI32" s="56"/>
      <c r="AJ32" s="56"/>
      <c r="AK32" s="56"/>
      <c r="AL32" s="56"/>
      <c r="AM32" s="74"/>
      <c r="AN32" s="57" t="str">
        <f>テーブル25[[#This Row],[選手名]]</f>
        <v>友野水葉</v>
      </c>
      <c r="AO32" s="59">
        <f>テーブル25[[#This Row],[背]]</f>
        <v>1</v>
      </c>
    </row>
    <row r="33" spans="1:41" x14ac:dyDescent="0.7">
      <c r="A33" s="2">
        <f t="shared" ref="A33:B33" si="34">A3</f>
        <v>3</v>
      </c>
      <c r="B33" s="3" t="str">
        <f t="shared" si="34"/>
        <v>我那覇公二郎</v>
      </c>
      <c r="C33" s="38" t="str">
        <f t="shared" si="27"/>
        <v/>
      </c>
      <c r="D33" s="38" t="str">
        <f t="shared" si="28"/>
        <v/>
      </c>
      <c r="E33" s="38" t="str">
        <f t="shared" si="29"/>
        <v/>
      </c>
      <c r="F33" s="38" t="str">
        <f t="shared" si="30"/>
        <v/>
      </c>
      <c r="G33" s="38" t="str">
        <f t="shared" si="31"/>
        <v/>
      </c>
      <c r="H33" s="38" t="str">
        <f t="shared" si="32"/>
        <v/>
      </c>
      <c r="I33" s="38" t="str">
        <f t="shared" si="33"/>
        <v/>
      </c>
      <c r="P33" s="2"/>
      <c r="Q33" s="2"/>
      <c r="R33" s="2"/>
      <c r="S33" s="2"/>
      <c r="T33" s="2"/>
      <c r="U33" s="2"/>
      <c r="V33" s="37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55"/>
      <c r="AH33" s="55"/>
      <c r="AI33" s="55"/>
      <c r="AJ33" s="55"/>
      <c r="AK33" s="55"/>
      <c r="AL33" s="55"/>
      <c r="AM33" s="75"/>
      <c r="AN33" s="57" t="str">
        <f>テーブル25[[#This Row],[選手名]]</f>
        <v>我那覇公二郎</v>
      </c>
      <c r="AO33" s="59">
        <f>テーブル25[[#This Row],[背]]</f>
        <v>3</v>
      </c>
    </row>
    <row r="34" spans="1:41" x14ac:dyDescent="0.7">
      <c r="A34" s="2">
        <f t="shared" ref="A34:B34" si="35">A4</f>
        <v>5</v>
      </c>
      <c r="B34" s="3" t="str">
        <f t="shared" si="35"/>
        <v>山内治樹</v>
      </c>
      <c r="C34" s="38" t="str">
        <f t="shared" si="27"/>
        <v/>
      </c>
      <c r="D34" s="38" t="str">
        <f t="shared" si="28"/>
        <v/>
      </c>
      <c r="E34" s="38" t="str">
        <f t="shared" si="29"/>
        <v/>
      </c>
      <c r="F34" s="38" t="str">
        <f t="shared" si="30"/>
        <v/>
      </c>
      <c r="G34" s="38" t="str">
        <f t="shared" si="31"/>
        <v/>
      </c>
      <c r="H34" s="38" t="str">
        <f t="shared" si="32"/>
        <v/>
      </c>
      <c r="I34" s="38" t="str">
        <f t="shared" si="33"/>
        <v/>
      </c>
      <c r="P34" s="2"/>
      <c r="Q34" s="2"/>
      <c r="R34" s="2"/>
      <c r="S34" s="2"/>
      <c r="T34" s="2"/>
      <c r="U34" s="2"/>
      <c r="V34" s="37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55"/>
      <c r="AH34" s="55"/>
      <c r="AI34" s="55"/>
      <c r="AJ34" s="55"/>
      <c r="AK34" s="55"/>
      <c r="AL34" s="55"/>
      <c r="AM34" s="75"/>
      <c r="AN34" s="57" t="str">
        <f>テーブル25[[#This Row],[選手名]]</f>
        <v>山内治樹</v>
      </c>
      <c r="AO34" s="59">
        <f>テーブル25[[#This Row],[背]]</f>
        <v>5</v>
      </c>
    </row>
    <row r="35" spans="1:41" x14ac:dyDescent="0.7">
      <c r="A35" s="2">
        <f t="shared" ref="A35:B35" si="36">A5</f>
        <v>7</v>
      </c>
      <c r="B35" s="3" t="str">
        <f t="shared" si="36"/>
        <v>山下湊</v>
      </c>
      <c r="C35" s="38" t="str">
        <f t="shared" si="27"/>
        <v/>
      </c>
      <c r="D35" s="38" t="str">
        <f t="shared" si="28"/>
        <v/>
      </c>
      <c r="E35" s="38" t="str">
        <f t="shared" si="29"/>
        <v/>
      </c>
      <c r="F35" s="38" t="str">
        <f t="shared" si="30"/>
        <v/>
      </c>
      <c r="G35" s="38" t="str">
        <f t="shared" si="31"/>
        <v/>
      </c>
      <c r="H35" s="38" t="str">
        <f t="shared" si="32"/>
        <v/>
      </c>
      <c r="I35" s="38" t="str">
        <f t="shared" si="33"/>
        <v/>
      </c>
      <c r="P35" s="2"/>
      <c r="Q35" s="2"/>
      <c r="R35" s="2"/>
      <c r="S35" s="2"/>
      <c r="T35" s="2"/>
      <c r="U35" s="2"/>
      <c r="V35" s="37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55"/>
      <c r="AH35" s="55"/>
      <c r="AI35" s="55"/>
      <c r="AJ35" s="55"/>
      <c r="AK35" s="55"/>
      <c r="AL35" s="55"/>
      <c r="AM35" s="75"/>
      <c r="AN35" s="57" t="str">
        <f>テーブル25[[#This Row],[選手名]]</f>
        <v>山下湊</v>
      </c>
      <c r="AO35" s="59">
        <f>テーブル25[[#This Row],[背]]</f>
        <v>7</v>
      </c>
    </row>
    <row r="36" spans="1:41" x14ac:dyDescent="0.7">
      <c r="A36" s="2">
        <f t="shared" ref="A36:B36" si="37">A6</f>
        <v>9</v>
      </c>
      <c r="B36" s="3" t="str">
        <f t="shared" si="37"/>
        <v>藤枝稜央</v>
      </c>
      <c r="C36" s="38" t="str">
        <f t="shared" si="27"/>
        <v/>
      </c>
      <c r="D36" s="38" t="str">
        <f t="shared" si="28"/>
        <v/>
      </c>
      <c r="E36" s="38" t="str">
        <f t="shared" si="29"/>
        <v/>
      </c>
      <c r="F36" s="38" t="str">
        <f t="shared" si="30"/>
        <v/>
      </c>
      <c r="G36" s="38" t="str">
        <f t="shared" si="31"/>
        <v/>
      </c>
      <c r="H36" s="38" t="str">
        <f t="shared" si="32"/>
        <v/>
      </c>
      <c r="I36" s="38" t="str">
        <f t="shared" si="33"/>
        <v/>
      </c>
      <c r="P36" s="2"/>
      <c r="Q36" s="2"/>
      <c r="R36" s="2"/>
      <c r="S36" s="2"/>
      <c r="T36" s="2"/>
      <c r="U36" s="2"/>
      <c r="V36" s="37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55"/>
      <c r="AH36" s="55"/>
      <c r="AI36" s="55"/>
      <c r="AJ36" s="55"/>
      <c r="AK36" s="55"/>
      <c r="AL36" s="55"/>
      <c r="AM36" s="55"/>
      <c r="AN36" s="57" t="str">
        <f>テーブル25[[#This Row],[選手名]]</f>
        <v>藤枝稜央</v>
      </c>
      <c r="AO36" s="59">
        <f>テーブル25[[#This Row],[背]]</f>
        <v>9</v>
      </c>
    </row>
    <row r="37" spans="1:41" x14ac:dyDescent="0.7">
      <c r="A37" s="2">
        <f t="shared" ref="A37:B37" si="38">A7</f>
        <v>9</v>
      </c>
      <c r="B37" s="3" t="str">
        <f t="shared" si="38"/>
        <v>和田侑也</v>
      </c>
      <c r="C37" s="38" t="str">
        <f t="shared" si="27"/>
        <v/>
      </c>
      <c r="D37" s="38" t="str">
        <f t="shared" si="28"/>
        <v/>
      </c>
      <c r="E37" s="38" t="str">
        <f t="shared" si="29"/>
        <v/>
      </c>
      <c r="F37" s="38" t="str">
        <f t="shared" si="30"/>
        <v/>
      </c>
      <c r="G37" s="38" t="str">
        <f t="shared" si="31"/>
        <v/>
      </c>
      <c r="H37" s="38" t="str">
        <f t="shared" si="32"/>
        <v/>
      </c>
      <c r="I37" s="38" t="str">
        <f t="shared" si="33"/>
        <v/>
      </c>
      <c r="P37" s="2"/>
      <c r="Q37" s="2"/>
      <c r="R37" s="2"/>
      <c r="S37" s="2"/>
      <c r="T37" s="2"/>
      <c r="U37" s="2"/>
      <c r="V37" s="37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55"/>
      <c r="AH37" s="55"/>
      <c r="AI37" s="55"/>
      <c r="AJ37" s="55"/>
      <c r="AK37" s="55"/>
      <c r="AL37" s="55"/>
      <c r="AM37" s="55"/>
      <c r="AN37" s="57" t="str">
        <f>テーブル25[[#This Row],[選手名]]</f>
        <v>和田侑也</v>
      </c>
      <c r="AO37" s="59">
        <f>テーブル25[[#This Row],[背]]</f>
        <v>9</v>
      </c>
    </row>
    <row r="38" spans="1:41" x14ac:dyDescent="0.7">
      <c r="A38" s="2">
        <f t="shared" ref="A38:B38" si="39">A8</f>
        <v>11</v>
      </c>
      <c r="B38" s="3" t="str">
        <f t="shared" si="39"/>
        <v>岩本佳大</v>
      </c>
      <c r="C38" s="38" t="str">
        <f t="shared" si="27"/>
        <v/>
      </c>
      <c r="D38" s="38" t="str">
        <f t="shared" si="28"/>
        <v/>
      </c>
      <c r="E38" s="38" t="str">
        <f t="shared" si="29"/>
        <v/>
      </c>
      <c r="F38" s="38" t="str">
        <f t="shared" si="30"/>
        <v/>
      </c>
      <c r="G38" s="38" t="str">
        <f t="shared" si="31"/>
        <v/>
      </c>
      <c r="H38" s="38" t="str">
        <f t="shared" si="32"/>
        <v/>
      </c>
      <c r="I38" s="38" t="str">
        <f t="shared" si="33"/>
        <v/>
      </c>
      <c r="P38" s="2"/>
      <c r="Q38" s="2"/>
      <c r="R38" s="2"/>
      <c r="S38" s="2"/>
      <c r="T38" s="2"/>
      <c r="U38" s="2"/>
      <c r="V38" s="37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55"/>
      <c r="AH38" s="55"/>
      <c r="AI38" s="55"/>
      <c r="AJ38" s="55"/>
      <c r="AK38" s="55"/>
      <c r="AL38" s="55"/>
      <c r="AM38" s="55"/>
      <c r="AN38" s="57" t="str">
        <f>テーブル25[[#This Row],[選手名]]</f>
        <v>岩本佳大</v>
      </c>
      <c r="AO38" s="59">
        <f>テーブル25[[#This Row],[背]]</f>
        <v>11</v>
      </c>
    </row>
    <row r="39" spans="1:41" x14ac:dyDescent="0.7">
      <c r="A39" s="2">
        <f t="shared" ref="A39:B39" si="40">A9</f>
        <v>12</v>
      </c>
      <c r="B39" s="3" t="str">
        <f t="shared" si="40"/>
        <v>若菜光</v>
      </c>
      <c r="C39" s="38" t="str">
        <f t="shared" si="27"/>
        <v/>
      </c>
      <c r="D39" s="38" t="str">
        <f t="shared" si="28"/>
        <v/>
      </c>
      <c r="E39" s="38" t="str">
        <f t="shared" si="29"/>
        <v/>
      </c>
      <c r="F39" s="38" t="str">
        <f t="shared" si="30"/>
        <v/>
      </c>
      <c r="G39" s="38" t="str">
        <f t="shared" si="31"/>
        <v/>
      </c>
      <c r="H39" s="38" t="str">
        <f t="shared" si="32"/>
        <v/>
      </c>
      <c r="I39" s="38" t="str">
        <f t="shared" si="33"/>
        <v/>
      </c>
      <c r="P39" s="2"/>
      <c r="Q39" s="2"/>
      <c r="R39" s="2"/>
      <c r="S39" s="2"/>
      <c r="T39" s="2"/>
      <c r="U39" s="2"/>
      <c r="V39" s="37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55"/>
      <c r="AH39" s="55"/>
      <c r="AI39" s="55"/>
      <c r="AJ39" s="55"/>
      <c r="AK39" s="55"/>
      <c r="AL39" s="55"/>
      <c r="AM39" s="55"/>
      <c r="AN39" s="57" t="str">
        <f>テーブル25[[#This Row],[選手名]]</f>
        <v>若菜光</v>
      </c>
      <c r="AO39" s="59">
        <f>テーブル25[[#This Row],[背]]</f>
        <v>12</v>
      </c>
    </row>
    <row r="40" spans="1:41" x14ac:dyDescent="0.7">
      <c r="A40" s="2">
        <f t="shared" ref="A40:B40" si="41">A10</f>
        <v>17</v>
      </c>
      <c r="B40" s="3" t="str">
        <f t="shared" si="41"/>
        <v>近藤大尭</v>
      </c>
      <c r="C40" s="38" t="str">
        <f t="shared" si="27"/>
        <v/>
      </c>
      <c r="D40" s="38" t="str">
        <f t="shared" si="28"/>
        <v/>
      </c>
      <c r="E40" s="38" t="str">
        <f t="shared" si="29"/>
        <v/>
      </c>
      <c r="F40" s="38" t="str">
        <f t="shared" si="30"/>
        <v/>
      </c>
      <c r="G40" s="38" t="str">
        <f t="shared" si="31"/>
        <v/>
      </c>
      <c r="H40" s="38" t="str">
        <f t="shared" si="32"/>
        <v/>
      </c>
      <c r="I40" s="38" t="str">
        <f t="shared" si="33"/>
        <v/>
      </c>
      <c r="P40" s="2"/>
      <c r="Q40" s="2"/>
      <c r="R40" s="2"/>
      <c r="S40" s="2"/>
      <c r="T40" s="2"/>
      <c r="U40" s="2"/>
      <c r="V40" s="37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55"/>
      <c r="AH40" s="55"/>
      <c r="AI40" s="55"/>
      <c r="AJ40" s="55"/>
      <c r="AK40" s="55"/>
      <c r="AL40" s="55"/>
      <c r="AM40" s="55"/>
      <c r="AN40" s="57" t="str">
        <f>テーブル25[[#This Row],[選手名]]</f>
        <v>近藤大尭</v>
      </c>
      <c r="AO40" s="59">
        <f>テーブル25[[#This Row],[背]]</f>
        <v>17</v>
      </c>
    </row>
    <row r="41" spans="1:41" x14ac:dyDescent="0.7">
      <c r="A41" s="2">
        <f t="shared" ref="A41:B41" si="42">A11</f>
        <v>18</v>
      </c>
      <c r="B41" s="3" t="str">
        <f t="shared" si="42"/>
        <v>有村陸</v>
      </c>
      <c r="C41" s="38">
        <f t="shared" si="27"/>
        <v>14</v>
      </c>
      <c r="D41" s="38" t="str">
        <f t="shared" si="28"/>
        <v/>
      </c>
      <c r="E41" s="38">
        <f t="shared" si="29"/>
        <v>0.5</v>
      </c>
      <c r="F41" s="38">
        <f t="shared" si="30"/>
        <v>13.120000000000001</v>
      </c>
      <c r="G41" s="38">
        <f t="shared" si="31"/>
        <v>6</v>
      </c>
      <c r="H41" s="38">
        <f t="shared" si="32"/>
        <v>7</v>
      </c>
      <c r="I41" s="38">
        <f t="shared" si="33"/>
        <v>0.25</v>
      </c>
      <c r="P41" s="2">
        <v>1</v>
      </c>
      <c r="Q41" s="2"/>
      <c r="R41" s="2"/>
      <c r="S41" s="2"/>
      <c r="T41" s="2"/>
      <c r="U41" s="2"/>
      <c r="V41" s="37">
        <v>1</v>
      </c>
      <c r="W41" s="2">
        <v>40</v>
      </c>
      <c r="X41" s="2">
        <v>2</v>
      </c>
      <c r="Y41" s="2">
        <v>2</v>
      </c>
      <c r="Z41" s="2">
        <v>8</v>
      </c>
      <c r="AA41" s="2">
        <v>1</v>
      </c>
      <c r="AB41" s="2">
        <v>4</v>
      </c>
      <c r="AC41" s="2"/>
      <c r="AD41" s="2"/>
      <c r="AE41" s="2">
        <v>2</v>
      </c>
      <c r="AF41" s="2"/>
      <c r="AG41" s="55"/>
      <c r="AH41" s="55"/>
      <c r="AI41" s="55"/>
      <c r="AJ41" s="55"/>
      <c r="AK41" s="55"/>
      <c r="AL41" s="55"/>
      <c r="AM41" s="55"/>
      <c r="AN41" s="57" t="str">
        <f>テーブル25[[#This Row],[選手名]]</f>
        <v>有村陸</v>
      </c>
      <c r="AO41" s="59">
        <f>テーブル25[[#This Row],[背]]</f>
        <v>18</v>
      </c>
    </row>
    <row r="42" spans="1:41" x14ac:dyDescent="0.7">
      <c r="A42" s="2">
        <f t="shared" ref="A42:B42" si="43">A12</f>
        <v>21</v>
      </c>
      <c r="B42" s="3" t="str">
        <f t="shared" si="43"/>
        <v>清水大基</v>
      </c>
      <c r="C42" s="38">
        <f t="shared" si="27"/>
        <v>1.1666666666666665</v>
      </c>
      <c r="D42" s="38">
        <f t="shared" si="28"/>
        <v>0.33333333333333331</v>
      </c>
      <c r="E42" s="38">
        <f t="shared" si="29"/>
        <v>0.14705882352941177</v>
      </c>
      <c r="F42" s="38">
        <f t="shared" si="30"/>
        <v>3.68</v>
      </c>
      <c r="G42" s="38">
        <f t="shared" si="31"/>
        <v>0.95833333333333315</v>
      </c>
      <c r="H42" s="38">
        <f t="shared" si="32"/>
        <v>4.083333333333333</v>
      </c>
      <c r="I42" s="38">
        <f t="shared" si="33"/>
        <v>1.0769230769230769</v>
      </c>
      <c r="P42" s="2">
        <v>7</v>
      </c>
      <c r="Q42" s="2">
        <v>1</v>
      </c>
      <c r="R42" s="2">
        <v>2</v>
      </c>
      <c r="S42" s="2"/>
      <c r="T42" s="2">
        <v>1</v>
      </c>
      <c r="U42" s="2">
        <v>1</v>
      </c>
      <c r="V42" s="37">
        <v>24.000000000000004</v>
      </c>
      <c r="W42" s="2">
        <v>327</v>
      </c>
      <c r="X42" s="2">
        <v>6</v>
      </c>
      <c r="Y42" s="2">
        <v>4</v>
      </c>
      <c r="Z42" s="2">
        <v>83</v>
      </c>
      <c r="AA42" s="2">
        <v>14</v>
      </c>
      <c r="AB42" s="2">
        <v>13</v>
      </c>
      <c r="AC42" s="2">
        <v>1</v>
      </c>
      <c r="AD42" s="2">
        <v>1</v>
      </c>
      <c r="AE42" s="2">
        <v>10</v>
      </c>
      <c r="AF42" s="2"/>
      <c r="AG42" s="55"/>
      <c r="AH42" s="55"/>
      <c r="AI42" s="55"/>
      <c r="AJ42" s="55"/>
      <c r="AK42" s="55"/>
      <c r="AL42" s="55"/>
      <c r="AM42" s="55"/>
      <c r="AN42" s="57" t="str">
        <f>テーブル25[[#This Row],[選手名]]</f>
        <v>清水大基</v>
      </c>
      <c r="AO42" s="59">
        <f>テーブル25[[#This Row],[背]]</f>
        <v>21</v>
      </c>
    </row>
    <row r="43" spans="1:41" x14ac:dyDescent="0.7">
      <c r="A43" s="2">
        <f t="shared" ref="A43:B43" si="44">A13</f>
        <v>21</v>
      </c>
      <c r="B43" s="3" t="str">
        <f t="shared" si="44"/>
        <v>山内惇寛</v>
      </c>
      <c r="C43" s="38" t="str">
        <f t="shared" si="27"/>
        <v/>
      </c>
      <c r="D43" s="38" t="str">
        <f t="shared" si="28"/>
        <v/>
      </c>
      <c r="E43" s="38" t="str">
        <f t="shared" si="29"/>
        <v/>
      </c>
      <c r="F43" s="38" t="str">
        <f t="shared" si="30"/>
        <v/>
      </c>
      <c r="G43" s="38" t="str">
        <f t="shared" si="31"/>
        <v/>
      </c>
      <c r="H43" s="38" t="str">
        <f t="shared" si="32"/>
        <v/>
      </c>
      <c r="I43" s="38" t="str">
        <f t="shared" si="33"/>
        <v/>
      </c>
      <c r="P43" s="2"/>
      <c r="Q43" s="2"/>
      <c r="R43" s="2"/>
      <c r="S43" s="2"/>
      <c r="T43" s="2"/>
      <c r="U43" s="2"/>
      <c r="V43" s="37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55"/>
      <c r="AH43" s="55"/>
      <c r="AI43" s="55"/>
      <c r="AJ43" s="55"/>
      <c r="AK43" s="55"/>
      <c r="AL43" s="55"/>
      <c r="AM43" s="55"/>
      <c r="AN43" s="57" t="str">
        <f>テーブル25[[#This Row],[選手名]]</f>
        <v>山内惇寛</v>
      </c>
      <c r="AO43" s="59">
        <f>テーブル25[[#This Row],[背]]</f>
        <v>21</v>
      </c>
    </row>
    <row r="44" spans="1:41" x14ac:dyDescent="0.7">
      <c r="A44" s="2">
        <f t="shared" ref="A44:B44" si="45">A14</f>
        <v>23</v>
      </c>
      <c r="B44" s="3" t="str">
        <f t="shared" si="45"/>
        <v>堀江崇太</v>
      </c>
      <c r="C44" s="38" t="str">
        <f t="shared" si="27"/>
        <v/>
      </c>
      <c r="D44" s="38" t="str">
        <f t="shared" si="28"/>
        <v/>
      </c>
      <c r="E44" s="38" t="str">
        <f t="shared" si="29"/>
        <v/>
      </c>
      <c r="F44" s="38" t="str">
        <f t="shared" si="30"/>
        <v/>
      </c>
      <c r="G44" s="38" t="str">
        <f t="shared" si="31"/>
        <v/>
      </c>
      <c r="H44" s="38" t="str">
        <f t="shared" si="32"/>
        <v/>
      </c>
      <c r="I44" s="38" t="str">
        <f t="shared" si="33"/>
        <v/>
      </c>
      <c r="P44" s="2"/>
      <c r="Q44" s="2"/>
      <c r="R44" s="2"/>
      <c r="S44" s="2"/>
      <c r="T44" s="2"/>
      <c r="U44" s="2"/>
      <c r="V44" s="37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55"/>
      <c r="AH44" s="55"/>
      <c r="AI44" s="55"/>
      <c r="AJ44" s="55"/>
      <c r="AK44" s="55"/>
      <c r="AL44" s="55"/>
      <c r="AM44" s="55"/>
      <c r="AN44" s="57" t="str">
        <f>テーブル25[[#This Row],[選手名]]</f>
        <v>堀江崇太</v>
      </c>
      <c r="AO44" s="59">
        <f>テーブル25[[#This Row],[背]]</f>
        <v>23</v>
      </c>
    </row>
    <row r="45" spans="1:41" x14ac:dyDescent="0.7">
      <c r="A45" s="2">
        <f t="shared" ref="A45:B45" si="46">A15</f>
        <v>25</v>
      </c>
      <c r="B45" s="3" t="str">
        <f t="shared" si="46"/>
        <v>汐田藍斗</v>
      </c>
      <c r="C45" s="38" t="str">
        <f t="shared" si="27"/>
        <v/>
      </c>
      <c r="D45" s="38" t="str">
        <f t="shared" si="28"/>
        <v/>
      </c>
      <c r="E45" s="38" t="str">
        <f t="shared" si="29"/>
        <v/>
      </c>
      <c r="F45" s="38" t="str">
        <f t="shared" si="30"/>
        <v/>
      </c>
      <c r="G45" s="38" t="str">
        <f t="shared" si="31"/>
        <v/>
      </c>
      <c r="H45" s="38" t="str">
        <f t="shared" si="32"/>
        <v/>
      </c>
      <c r="I45" s="38" t="str">
        <f t="shared" si="33"/>
        <v/>
      </c>
      <c r="P45" s="2"/>
      <c r="Q45" s="2"/>
      <c r="R45" s="2"/>
      <c r="S45" s="2"/>
      <c r="T45" s="2"/>
      <c r="U45" s="2"/>
      <c r="V45" s="37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55"/>
      <c r="AH45" s="55"/>
      <c r="AI45" s="55"/>
      <c r="AJ45" s="55"/>
      <c r="AK45" s="55"/>
      <c r="AL45" s="55"/>
      <c r="AM45" s="55"/>
      <c r="AN45" s="57" t="str">
        <f>テーブル25[[#This Row],[選手名]]</f>
        <v>汐田藍斗</v>
      </c>
      <c r="AO45" s="59">
        <f>テーブル25[[#This Row],[背]]</f>
        <v>25</v>
      </c>
    </row>
    <row r="46" spans="1:41" x14ac:dyDescent="0.7">
      <c r="A46" s="2">
        <f t="shared" ref="A46:B46" si="47">A16</f>
        <v>26</v>
      </c>
      <c r="B46" s="3" t="str">
        <f t="shared" si="47"/>
        <v>森奨真</v>
      </c>
      <c r="C46" s="38" t="str">
        <f t="shared" si="27"/>
        <v/>
      </c>
      <c r="D46" s="38" t="str">
        <f t="shared" si="28"/>
        <v/>
      </c>
      <c r="E46" s="38" t="str">
        <f t="shared" si="29"/>
        <v/>
      </c>
      <c r="F46" s="38" t="str">
        <f t="shared" si="30"/>
        <v/>
      </c>
      <c r="G46" s="38" t="str">
        <f t="shared" si="31"/>
        <v/>
      </c>
      <c r="H46" s="38" t="str">
        <f t="shared" si="32"/>
        <v/>
      </c>
      <c r="I46" s="38" t="str">
        <f t="shared" si="33"/>
        <v/>
      </c>
      <c r="P46" s="2"/>
      <c r="Q46" s="2"/>
      <c r="R46" s="2"/>
      <c r="S46" s="2"/>
      <c r="T46" s="2"/>
      <c r="U46" s="2"/>
      <c r="V46" s="37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55"/>
      <c r="AH46" s="55"/>
      <c r="AI46" s="55"/>
      <c r="AJ46" s="55"/>
      <c r="AK46" s="55"/>
      <c r="AL46" s="55"/>
      <c r="AM46" s="55"/>
      <c r="AN46" s="57" t="str">
        <f>テーブル25[[#This Row],[選手名]]</f>
        <v>森奨真</v>
      </c>
      <c r="AO46" s="59">
        <f>テーブル25[[#This Row],[背]]</f>
        <v>26</v>
      </c>
    </row>
    <row r="47" spans="1:41" x14ac:dyDescent="0.7">
      <c r="A47" s="2">
        <f t="shared" ref="A47:B47" si="48">A17</f>
        <v>33</v>
      </c>
      <c r="B47" s="3" t="str">
        <f t="shared" si="48"/>
        <v>福本陽介</v>
      </c>
      <c r="C47" s="38">
        <f t="shared" si="27"/>
        <v>2.5108695652173911</v>
      </c>
      <c r="D47" s="38">
        <f t="shared" si="28"/>
        <v>0</v>
      </c>
      <c r="E47" s="38">
        <f t="shared" si="29"/>
        <v>0.16379310344827586</v>
      </c>
      <c r="F47" s="38">
        <f t="shared" si="30"/>
        <v>6.4134782608695655</v>
      </c>
      <c r="G47" s="38">
        <f t="shared" si="31"/>
        <v>1.2391304347826086</v>
      </c>
      <c r="H47" s="38">
        <f t="shared" si="32"/>
        <v>2.7391304347826084</v>
      </c>
      <c r="I47" s="38">
        <f t="shared" si="33"/>
        <v>0.63157894736842102</v>
      </c>
      <c r="P47" s="2">
        <v>8</v>
      </c>
      <c r="Q47" s="2"/>
      <c r="R47" s="2">
        <v>2</v>
      </c>
      <c r="S47" s="2"/>
      <c r="T47" s="2"/>
      <c r="U47" s="2"/>
      <c r="V47" s="37">
        <v>30.666666666666668</v>
      </c>
      <c r="W47" s="2">
        <v>521</v>
      </c>
      <c r="X47" s="2">
        <v>24</v>
      </c>
      <c r="Y47" s="2">
        <v>11</v>
      </c>
      <c r="Z47" s="2">
        <v>152</v>
      </c>
      <c r="AA47" s="2">
        <v>12</v>
      </c>
      <c r="AB47" s="2">
        <v>19</v>
      </c>
      <c r="AC47" s="2">
        <v>14</v>
      </c>
      <c r="AD47" s="2">
        <v>3</v>
      </c>
      <c r="AE47" s="2">
        <v>19</v>
      </c>
      <c r="AF47" s="2">
        <v>2</v>
      </c>
      <c r="AG47" s="55"/>
      <c r="AH47" s="55"/>
      <c r="AI47" s="55"/>
      <c r="AJ47" s="55"/>
      <c r="AK47" s="55"/>
      <c r="AL47" s="55"/>
      <c r="AM47" s="55"/>
      <c r="AN47" s="57" t="str">
        <f>テーブル25[[#This Row],[選手名]]</f>
        <v>福本陽介</v>
      </c>
      <c r="AO47" s="59">
        <f>テーブル25[[#This Row],[背]]</f>
        <v>33</v>
      </c>
    </row>
    <row r="48" spans="1:41" s="20" customFormat="1" x14ac:dyDescent="0.7">
      <c r="A48" s="2">
        <f t="shared" ref="A48:B48" si="49">A18</f>
        <v>46</v>
      </c>
      <c r="B48" s="3" t="str">
        <f t="shared" si="49"/>
        <v>安井理一郎</v>
      </c>
      <c r="C48" s="38">
        <f t="shared" si="27"/>
        <v>0</v>
      </c>
      <c r="D48" s="38" t="str">
        <f t="shared" si="28"/>
        <v/>
      </c>
      <c r="E48" s="38">
        <f t="shared" si="29"/>
        <v>0.33333333333333331</v>
      </c>
      <c r="F48" s="38">
        <f t="shared" si="30"/>
        <v>3.12</v>
      </c>
      <c r="G48" s="38">
        <f t="shared" si="31"/>
        <v>1.5</v>
      </c>
      <c r="H48" s="38">
        <f t="shared" si="32"/>
        <v>0</v>
      </c>
      <c r="I48" s="38" t="str">
        <f t="shared" si="33"/>
        <v/>
      </c>
      <c r="J48" s="47"/>
      <c r="K48" s="47"/>
      <c r="L48" s="47"/>
      <c r="M48" s="47"/>
      <c r="N48" s="47"/>
      <c r="O48" s="47"/>
      <c r="P48" s="2">
        <v>1</v>
      </c>
      <c r="Q48" s="2"/>
      <c r="R48" s="2"/>
      <c r="S48" s="2"/>
      <c r="T48" s="2"/>
      <c r="U48" s="2"/>
      <c r="V48" s="37">
        <v>0.66666666666666663</v>
      </c>
      <c r="W48" s="2">
        <v>10</v>
      </c>
      <c r="X48" s="2">
        <v>2</v>
      </c>
      <c r="Y48" s="2"/>
      <c r="Z48" s="2">
        <v>3</v>
      </c>
      <c r="AA48" s="2"/>
      <c r="AB48" s="2"/>
      <c r="AC48" s="2"/>
      <c r="AD48" s="2"/>
      <c r="AE48" s="2">
        <v>1</v>
      </c>
      <c r="AF48" s="2"/>
      <c r="AG48" s="55"/>
      <c r="AH48" s="55"/>
      <c r="AI48" s="55"/>
      <c r="AJ48" s="55"/>
      <c r="AK48" s="55"/>
      <c r="AL48" s="55"/>
      <c r="AM48" s="55"/>
      <c r="AN48" s="57" t="str">
        <f>テーブル25[[#This Row],[選手名]]</f>
        <v>安井理一郎</v>
      </c>
      <c r="AO48" s="59">
        <f>テーブル25[[#This Row],[背]]</f>
        <v>46</v>
      </c>
    </row>
    <row r="49" spans="1:41" s="20" customFormat="1" x14ac:dyDescent="0.7">
      <c r="A49" s="2">
        <f t="shared" ref="A49:B49" si="50">A19</f>
        <v>47</v>
      </c>
      <c r="B49" s="3" t="str">
        <f t="shared" si="50"/>
        <v>簾圭智</v>
      </c>
      <c r="C49" s="38" t="str">
        <f t="shared" si="27"/>
        <v/>
      </c>
      <c r="D49" s="38" t="str">
        <f t="shared" si="28"/>
        <v/>
      </c>
      <c r="E49" s="38" t="str">
        <f t="shared" si="29"/>
        <v/>
      </c>
      <c r="F49" s="38" t="str">
        <f t="shared" si="30"/>
        <v/>
      </c>
      <c r="G49" s="38" t="str">
        <f t="shared" si="31"/>
        <v/>
      </c>
      <c r="H49" s="38" t="str">
        <f t="shared" si="32"/>
        <v/>
      </c>
      <c r="I49" s="38" t="str">
        <f t="shared" si="33"/>
        <v/>
      </c>
      <c r="J49" s="47"/>
      <c r="K49" s="47"/>
      <c r="L49" s="47"/>
      <c r="M49" s="47"/>
      <c r="N49" s="47"/>
      <c r="O49" s="47"/>
      <c r="P49" s="2"/>
      <c r="Q49" s="2"/>
      <c r="R49" s="2"/>
      <c r="S49" s="2"/>
      <c r="T49" s="2"/>
      <c r="U49" s="2"/>
      <c r="V49" s="37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55"/>
      <c r="AH49" s="55"/>
      <c r="AI49" s="55"/>
      <c r="AJ49" s="55"/>
      <c r="AK49" s="55"/>
      <c r="AL49" s="55"/>
      <c r="AM49" s="55"/>
      <c r="AN49" s="57" t="str">
        <f>テーブル25[[#This Row],[選手名]]</f>
        <v>簾圭智</v>
      </c>
      <c r="AO49" s="59">
        <f>テーブル25[[#This Row],[背]]</f>
        <v>47</v>
      </c>
    </row>
    <row r="50" spans="1:41" s="40" customFormat="1" ht="14.25" x14ac:dyDescent="0.7">
      <c r="A50" s="2">
        <f t="shared" ref="A50:B50" si="51">A20</f>
        <v>50</v>
      </c>
      <c r="B50" s="3" t="str">
        <f t="shared" si="51"/>
        <v>陣内勇冴</v>
      </c>
      <c r="C50" s="38" t="str">
        <f t="shared" si="27"/>
        <v/>
      </c>
      <c r="D50" s="38" t="str">
        <f t="shared" si="28"/>
        <v/>
      </c>
      <c r="E50" s="38" t="str">
        <f t="shared" si="29"/>
        <v/>
      </c>
      <c r="F50" s="38" t="str">
        <f t="shared" si="30"/>
        <v/>
      </c>
      <c r="G50" s="38" t="str">
        <f t="shared" si="31"/>
        <v/>
      </c>
      <c r="H50" s="38" t="str">
        <f t="shared" si="32"/>
        <v/>
      </c>
      <c r="I50" s="38" t="str">
        <f t="shared" si="33"/>
        <v/>
      </c>
      <c r="J50" s="47"/>
      <c r="K50" s="47"/>
      <c r="L50" s="47"/>
      <c r="M50" s="47"/>
      <c r="N50" s="47"/>
      <c r="O50" s="47"/>
      <c r="P50" s="2"/>
      <c r="Q50" s="2"/>
      <c r="R50" s="2"/>
      <c r="S50" s="2"/>
      <c r="T50" s="2"/>
      <c r="U50" s="2"/>
      <c r="V50" s="37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55"/>
      <c r="AH50" s="55"/>
      <c r="AI50" s="55"/>
      <c r="AJ50" s="55"/>
      <c r="AK50" s="55"/>
      <c r="AL50" s="55"/>
      <c r="AM50" s="55"/>
      <c r="AN50" s="57" t="str">
        <f>テーブル25[[#This Row],[選手名]]</f>
        <v>陣内勇冴</v>
      </c>
      <c r="AO50" s="59">
        <f>テーブル25[[#This Row],[背]]</f>
        <v>50</v>
      </c>
    </row>
    <row r="51" spans="1:41" s="41" customFormat="1" ht="14.25" x14ac:dyDescent="0.7">
      <c r="A51" s="2">
        <f t="shared" ref="A51:B51" si="52">A21</f>
        <v>51</v>
      </c>
      <c r="B51" s="3" t="str">
        <f t="shared" si="52"/>
        <v>坂元勇斗</v>
      </c>
      <c r="C51" s="38" t="str">
        <f t="shared" si="27"/>
        <v/>
      </c>
      <c r="D51" s="38" t="str">
        <f t="shared" si="28"/>
        <v/>
      </c>
      <c r="E51" s="38" t="str">
        <f t="shared" si="29"/>
        <v/>
      </c>
      <c r="F51" s="38" t="str">
        <f t="shared" si="30"/>
        <v/>
      </c>
      <c r="G51" s="38" t="str">
        <f t="shared" si="31"/>
        <v/>
      </c>
      <c r="H51" s="38" t="str">
        <f t="shared" si="32"/>
        <v/>
      </c>
      <c r="I51" s="38" t="str">
        <f t="shared" si="33"/>
        <v/>
      </c>
      <c r="J51" s="47"/>
      <c r="K51" s="47"/>
      <c r="L51" s="47"/>
      <c r="M51" s="47"/>
      <c r="N51" s="47"/>
      <c r="O51" s="47"/>
      <c r="P51" s="2"/>
      <c r="Q51" s="2"/>
      <c r="R51" s="2"/>
      <c r="S51" s="2"/>
      <c r="T51" s="2"/>
      <c r="U51" s="2"/>
      <c r="V51" s="37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55"/>
      <c r="AH51" s="55"/>
      <c r="AI51" s="55"/>
      <c r="AJ51" s="55"/>
      <c r="AK51" s="55"/>
      <c r="AL51" s="55"/>
      <c r="AM51" s="55"/>
      <c r="AN51" s="57" t="str">
        <f>テーブル25[[#This Row],[選手名]]</f>
        <v>坂元勇斗</v>
      </c>
      <c r="AO51" s="59">
        <f>テーブル25[[#This Row],[背]]</f>
        <v>51</v>
      </c>
    </row>
    <row r="52" spans="1:41" ht="14.25" x14ac:dyDescent="0.7">
      <c r="A52" s="2">
        <f t="shared" ref="A52:B52" si="53">A22</f>
        <v>53</v>
      </c>
      <c r="B52" s="3" t="str">
        <f t="shared" si="53"/>
        <v>赤星圭一</v>
      </c>
      <c r="C52" s="38">
        <f t="shared" si="27"/>
        <v>21</v>
      </c>
      <c r="D52" s="38" t="str">
        <f t="shared" si="28"/>
        <v/>
      </c>
      <c r="E52" s="38">
        <f t="shared" si="29"/>
        <v>0.42857142857142855</v>
      </c>
      <c r="F52" s="38">
        <f t="shared" si="30"/>
        <v>7.62</v>
      </c>
      <c r="G52" s="38">
        <f t="shared" si="31"/>
        <v>3.75</v>
      </c>
      <c r="H52" s="38">
        <f t="shared" si="32"/>
        <v>0</v>
      </c>
      <c r="I52" s="38">
        <f t="shared" si="33"/>
        <v>0</v>
      </c>
      <c r="P52" s="2">
        <v>1</v>
      </c>
      <c r="Q52" s="2"/>
      <c r="R52" s="2"/>
      <c r="S52" s="2"/>
      <c r="T52" s="2"/>
      <c r="U52" s="2"/>
      <c r="V52" s="37">
        <v>1.3333333333333333</v>
      </c>
      <c r="W52" s="2">
        <v>42</v>
      </c>
      <c r="X52" s="2">
        <v>2</v>
      </c>
      <c r="Y52" s="2">
        <v>4</v>
      </c>
      <c r="Z52" s="2">
        <v>9</v>
      </c>
      <c r="AA52" s="2"/>
      <c r="AB52" s="2">
        <v>2</v>
      </c>
      <c r="AC52" s="2"/>
      <c r="AD52" s="2"/>
      <c r="AE52" s="2">
        <v>3</v>
      </c>
      <c r="AF52" s="2"/>
      <c r="AG52" s="55"/>
      <c r="AH52" s="55"/>
      <c r="AI52" s="55"/>
      <c r="AJ52" s="55"/>
      <c r="AK52" s="55"/>
      <c r="AL52" s="55"/>
      <c r="AM52" s="55"/>
      <c r="AN52" s="57" t="str">
        <f>テーブル25[[#This Row],[選手名]]</f>
        <v>赤星圭一</v>
      </c>
      <c r="AO52" s="59">
        <f>テーブル25[[#This Row],[背]]</f>
        <v>53</v>
      </c>
    </row>
    <row r="53" spans="1:41" ht="14.25" x14ac:dyDescent="0.7">
      <c r="A53" s="2">
        <f t="shared" ref="A53:B53" si="54">A23</f>
        <v>85</v>
      </c>
      <c r="B53" s="3" t="str">
        <f t="shared" si="54"/>
        <v>渡邊琥心</v>
      </c>
      <c r="C53" s="38" t="str">
        <f t="shared" si="27"/>
        <v/>
      </c>
      <c r="D53" s="38" t="str">
        <f t="shared" si="28"/>
        <v/>
      </c>
      <c r="E53" s="38" t="str">
        <f t="shared" si="29"/>
        <v/>
      </c>
      <c r="F53" s="38" t="str">
        <f t="shared" si="30"/>
        <v/>
      </c>
      <c r="G53" s="38" t="str">
        <f t="shared" si="31"/>
        <v/>
      </c>
      <c r="H53" s="38" t="str">
        <f t="shared" si="32"/>
        <v/>
      </c>
      <c r="I53" s="38" t="str">
        <f t="shared" si="33"/>
        <v/>
      </c>
      <c r="J53" s="48"/>
      <c r="P53" s="2"/>
      <c r="Q53" s="2"/>
      <c r="R53" s="2"/>
      <c r="S53" s="2"/>
      <c r="T53" s="2"/>
      <c r="U53" s="2"/>
      <c r="V53" s="37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55"/>
      <c r="AH53" s="55"/>
      <c r="AI53" s="55"/>
      <c r="AJ53" s="55"/>
      <c r="AK53" s="55"/>
      <c r="AL53" s="55"/>
      <c r="AM53" s="55"/>
      <c r="AN53" s="57" t="str">
        <f>テーブル25[[#This Row],[選手名]]</f>
        <v>渡邊琥心</v>
      </c>
      <c r="AO53" s="59">
        <f>テーブル25[[#This Row],[背]]</f>
        <v>85</v>
      </c>
    </row>
    <row r="54" spans="1:41" ht="14.25" x14ac:dyDescent="0.7">
      <c r="A54" s="2">
        <f t="shared" ref="A54:B54" si="55">A24</f>
        <v>99</v>
      </c>
      <c r="B54" s="3" t="str">
        <f t="shared" si="55"/>
        <v>片山大翔</v>
      </c>
      <c r="C54" s="38" t="str">
        <f t="shared" si="27"/>
        <v/>
      </c>
      <c r="D54" s="38" t="str">
        <f t="shared" si="28"/>
        <v/>
      </c>
      <c r="E54" s="38" t="str">
        <f t="shared" si="29"/>
        <v/>
      </c>
      <c r="F54" s="38" t="str">
        <f t="shared" si="30"/>
        <v/>
      </c>
      <c r="G54" s="38" t="str">
        <f t="shared" si="31"/>
        <v/>
      </c>
      <c r="H54" s="38" t="str">
        <f t="shared" si="32"/>
        <v/>
      </c>
      <c r="I54" s="38" t="str">
        <f t="shared" si="33"/>
        <v/>
      </c>
      <c r="J54" s="48"/>
      <c r="P54" s="2"/>
      <c r="Q54" s="2"/>
      <c r="R54" s="2"/>
      <c r="S54" s="2"/>
      <c r="T54" s="2"/>
      <c r="U54" s="2"/>
      <c r="V54" s="37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55"/>
      <c r="AH54" s="55"/>
      <c r="AI54" s="55"/>
      <c r="AJ54" s="55"/>
      <c r="AK54" s="55"/>
      <c r="AL54" s="55"/>
      <c r="AM54" s="55"/>
      <c r="AN54" s="57" t="str">
        <f>テーブル25[[#This Row],[選手名]]</f>
        <v>片山大翔</v>
      </c>
      <c r="AO54" s="59">
        <f>テーブル25[[#This Row],[背]]</f>
        <v>99</v>
      </c>
    </row>
    <row r="55" spans="1:41" ht="14.25" x14ac:dyDescent="0.7">
      <c r="V55" s="49"/>
    </row>
    <row r="56" spans="1:41" s="53" customFormat="1" ht="14.25" x14ac:dyDescent="0.7">
      <c r="A56" s="50"/>
      <c r="B56" s="51" t="s">
        <v>270</v>
      </c>
      <c r="C56" s="54">
        <f>IFERROR((Y56*7)/V56,"")</f>
        <v>2.9276139410187669</v>
      </c>
      <c r="D56" s="54">
        <f>IFERROR(Q56/(Q56+R56),"")</f>
        <v>0.1875</v>
      </c>
      <c r="E56" s="54">
        <f>IFERROR(AE56/(Z56-SUM(AB56:AD56)),"")</f>
        <v>0.2148936170212766</v>
      </c>
      <c r="F56" s="54">
        <f>IFERROR((AF56*13+(AB56+AC56)*3-AA56*2)/V56+3.12,"")</f>
        <v>5.4041823056300267</v>
      </c>
      <c r="G56" s="54">
        <f>IFERROR((AE56+AB56+AC56)/V56,"")</f>
        <v>1.6246648793565683</v>
      </c>
      <c r="H56" s="54">
        <f>IFERROR(AA56*7/V56,"")</f>
        <v>3.0965147453083111</v>
      </c>
      <c r="I56" s="54">
        <f>IFERROR(AA56/AB56,"")</f>
        <v>0.7142857142857143</v>
      </c>
      <c r="J56" s="54"/>
      <c r="K56" s="54"/>
      <c r="L56" s="54"/>
      <c r="M56" s="54"/>
      <c r="N56" s="54"/>
      <c r="O56" s="54"/>
      <c r="P56" s="50"/>
      <c r="Q56" s="50">
        <f>SUM(テーブル25[勝
利])</f>
        <v>3</v>
      </c>
      <c r="R56" s="50">
        <f>SUM(テーブル25[敗
北])</f>
        <v>13</v>
      </c>
      <c r="S56" s="50">
        <f>SUM(テーブル25[セ
ー
ブ])</f>
        <v>0</v>
      </c>
      <c r="T56" s="50">
        <f>SUM(テーブル25[完
投])</f>
        <v>3</v>
      </c>
      <c r="U56" s="50">
        <f>SUM(テーブル25[完
封])</f>
        <v>1</v>
      </c>
      <c r="V56" s="50">
        <f>SUM(テーブル25[回
数])</f>
        <v>124.33333333333333</v>
      </c>
      <c r="W56" s="50">
        <f>SUM(テーブル25[球
数])</f>
        <v>1973</v>
      </c>
      <c r="X56" s="50">
        <f>SUM(テーブル25[失
点])</f>
        <v>98</v>
      </c>
      <c r="Y56" s="50">
        <f>SUM(テーブル25[自
責
点])</f>
        <v>52</v>
      </c>
      <c r="Z56" s="50">
        <f>SUM(テーブル25[打
席])</f>
        <v>581</v>
      </c>
      <c r="AA56" s="50">
        <f>SUM(テーブル25[奪
三
振])</f>
        <v>55</v>
      </c>
      <c r="AB56" s="50">
        <f>SUM(テーブル25[与
四
球])</f>
        <v>77</v>
      </c>
      <c r="AC56" s="50">
        <f>SUM(テーブル25[与
死
球])</f>
        <v>24</v>
      </c>
      <c r="AD56" s="50">
        <f>SUM(テーブル25[犠
打
飛])</f>
        <v>10</v>
      </c>
      <c r="AE56" s="50">
        <f>SUM(テーブル25[被
安
打])</f>
        <v>101</v>
      </c>
      <c r="AF56" s="50">
        <f>SUM(テーブル25[被
本
塁
打])</f>
        <v>7</v>
      </c>
      <c r="AN56" s="58"/>
      <c r="AO56" s="62"/>
    </row>
  </sheetData>
  <phoneticPr fontId="2"/>
  <conditionalFormatting sqref="C25">
    <cfRule type="top10" dxfId="234" priority="178" rank="1"/>
  </conditionalFormatting>
  <conditionalFormatting sqref="D25">
    <cfRule type="top10" dxfId="233" priority="179" rank="1"/>
  </conditionalFormatting>
  <conditionalFormatting sqref="E25">
    <cfRule type="top10" dxfId="232" priority="180" rank="1"/>
  </conditionalFormatting>
  <conditionalFormatting sqref="F25">
    <cfRule type="top10" dxfId="231" priority="181" rank="1"/>
  </conditionalFormatting>
  <conditionalFormatting sqref="G25">
    <cfRule type="top10" dxfId="230" priority="182" rank="1"/>
  </conditionalFormatting>
  <conditionalFormatting sqref="H25">
    <cfRule type="top10" dxfId="229" priority="183" rank="1"/>
  </conditionalFormatting>
  <conditionalFormatting sqref="I25">
    <cfRule type="top10" dxfId="228" priority="184" rank="1"/>
  </conditionalFormatting>
  <conditionalFormatting sqref="J25">
    <cfRule type="top10" dxfId="227" priority="185" rank="1"/>
  </conditionalFormatting>
  <conditionalFormatting sqref="K25">
    <cfRule type="top10" dxfId="226" priority="186" rank="1"/>
  </conditionalFormatting>
  <conditionalFormatting sqref="L25">
    <cfRule type="top10" dxfId="225" priority="187" rank="1"/>
  </conditionalFormatting>
  <conditionalFormatting sqref="M25">
    <cfRule type="top10" dxfId="224" priority="188" rank="1"/>
  </conditionalFormatting>
  <conditionalFormatting sqref="N25">
    <cfRule type="top10" dxfId="223" priority="189" rank="1"/>
  </conditionalFormatting>
  <conditionalFormatting sqref="O25">
    <cfRule type="top10" dxfId="222" priority="190" rank="1"/>
  </conditionalFormatting>
  <conditionalFormatting sqref="P25">
    <cfRule type="top10" dxfId="221" priority="191" rank="1"/>
  </conditionalFormatting>
  <conditionalFormatting sqref="Q25">
    <cfRule type="top10" dxfId="220" priority="192" rank="1"/>
  </conditionalFormatting>
  <conditionalFormatting sqref="R25">
    <cfRule type="top10" dxfId="219" priority="193" rank="1"/>
  </conditionalFormatting>
  <conditionalFormatting sqref="S25">
    <cfRule type="top10" dxfId="218" priority="194" rank="1"/>
  </conditionalFormatting>
  <conditionalFormatting sqref="T25">
    <cfRule type="top10" dxfId="217" priority="195" rank="1"/>
  </conditionalFormatting>
  <conditionalFormatting sqref="U25">
    <cfRule type="top10" dxfId="216" priority="196" rank="1"/>
  </conditionalFormatting>
  <conditionalFormatting sqref="V25">
    <cfRule type="top10" dxfId="215" priority="197" rank="1"/>
  </conditionalFormatting>
  <conditionalFormatting sqref="W25">
    <cfRule type="top10" dxfId="214" priority="198" rank="1"/>
  </conditionalFormatting>
  <conditionalFormatting sqref="X25">
    <cfRule type="top10" dxfId="213" priority="199" rank="1"/>
  </conditionalFormatting>
  <conditionalFormatting sqref="Y25">
    <cfRule type="top10" dxfId="212" priority="200" rank="1"/>
  </conditionalFormatting>
  <conditionalFormatting sqref="Z25">
    <cfRule type="top10" dxfId="211" priority="201" rank="1"/>
  </conditionalFormatting>
  <conditionalFormatting sqref="AA25">
    <cfRule type="top10" dxfId="210" priority="202" rank="1"/>
  </conditionalFormatting>
  <conditionalFormatting sqref="AB25">
    <cfRule type="top10" dxfId="209" priority="203" rank="1"/>
  </conditionalFormatting>
  <conditionalFormatting sqref="AC25">
    <cfRule type="top10" dxfId="208" priority="204" rank="1"/>
  </conditionalFormatting>
  <conditionalFormatting sqref="AD25">
    <cfRule type="top10" dxfId="207" priority="205" rank="1"/>
  </conditionalFormatting>
  <conditionalFormatting sqref="AE25">
    <cfRule type="top10" dxfId="206" priority="206" rank="1"/>
  </conditionalFormatting>
  <conditionalFormatting sqref="AF25">
    <cfRule type="top10" dxfId="205" priority="207" rank="1"/>
  </conditionalFormatting>
  <conditionalFormatting sqref="AG25">
    <cfRule type="top10" dxfId="204" priority="208" rank="1"/>
  </conditionalFormatting>
  <conditionalFormatting sqref="AH25">
    <cfRule type="top10" dxfId="203" priority="209" rank="1"/>
  </conditionalFormatting>
  <conditionalFormatting sqref="AI25">
    <cfRule type="top10" dxfId="202" priority="210" rank="1"/>
  </conditionalFormatting>
  <conditionalFormatting sqref="AJ25">
    <cfRule type="top10" dxfId="201" priority="211" rank="1"/>
  </conditionalFormatting>
  <conditionalFormatting sqref="AK25">
    <cfRule type="top10" dxfId="200" priority="212" rank="1"/>
  </conditionalFormatting>
  <conditionalFormatting sqref="AL25">
    <cfRule type="top10" dxfId="199" priority="213" rank="1"/>
  </conditionalFormatting>
  <conditionalFormatting sqref="AM25">
    <cfRule type="top10" dxfId="198" priority="214" rank="1"/>
  </conditionalFormatting>
  <conditionalFormatting sqref="C53:C55">
    <cfRule type="top10" dxfId="197" priority="319" bottom="1" rank="3"/>
  </conditionalFormatting>
  <conditionalFormatting sqref="D53:D55">
    <cfRule type="top10" dxfId="196" priority="320" rank="3"/>
  </conditionalFormatting>
  <conditionalFormatting sqref="E53:E55">
    <cfRule type="top10" dxfId="195" priority="321" bottom="1" rank="3"/>
  </conditionalFormatting>
  <conditionalFormatting sqref="F53:F55">
    <cfRule type="top10" dxfId="194" priority="322" bottom="1" rank="3"/>
  </conditionalFormatting>
  <conditionalFormatting sqref="G53:G55">
    <cfRule type="top10" dxfId="193" priority="323" bottom="1" rank="3"/>
  </conditionalFormatting>
  <conditionalFormatting sqref="H53:H55">
    <cfRule type="top10" dxfId="192" priority="324" rank="3"/>
  </conditionalFormatting>
  <conditionalFormatting sqref="I53:I55">
    <cfRule type="top10" dxfId="191" priority="325" rank="3"/>
  </conditionalFormatting>
  <conditionalFormatting sqref="J53:J55">
    <cfRule type="top10" dxfId="190" priority="326" rank="3"/>
  </conditionalFormatting>
  <conditionalFormatting sqref="K53:K55">
    <cfRule type="top10" dxfId="189" priority="327" rank="3"/>
  </conditionalFormatting>
  <conditionalFormatting sqref="L53:L55">
    <cfRule type="top10" dxfId="188" priority="328" rank="3"/>
  </conditionalFormatting>
  <conditionalFormatting sqref="M53:M55">
    <cfRule type="top10" dxfId="187" priority="329" rank="3"/>
  </conditionalFormatting>
  <conditionalFormatting sqref="N53:N55">
    <cfRule type="top10" dxfId="186" priority="330" rank="3"/>
  </conditionalFormatting>
  <conditionalFormatting sqref="O53:O55">
    <cfRule type="top10" dxfId="185" priority="331" rank="3"/>
  </conditionalFormatting>
  <conditionalFormatting sqref="P53:P55">
    <cfRule type="top10" dxfId="184" priority="332" rank="3"/>
  </conditionalFormatting>
  <conditionalFormatting sqref="Q53:Q55">
    <cfRule type="top10" dxfId="183" priority="333" rank="3"/>
  </conditionalFormatting>
  <conditionalFormatting sqref="R53:R55">
    <cfRule type="top10" dxfId="182" priority="334" rank="3"/>
  </conditionalFormatting>
  <conditionalFormatting sqref="S53:S55">
    <cfRule type="top10" dxfId="181" priority="335" rank="3"/>
  </conditionalFormatting>
  <conditionalFormatting sqref="T53:T55">
    <cfRule type="top10" dxfId="180" priority="336" rank="3"/>
  </conditionalFormatting>
  <conditionalFormatting sqref="U53:U55">
    <cfRule type="top10" dxfId="179" priority="337" rank="3"/>
  </conditionalFormatting>
  <conditionalFormatting sqref="V53:V55">
    <cfRule type="top10" dxfId="178" priority="338" rank="3"/>
  </conditionalFormatting>
  <conditionalFormatting sqref="W53:W55">
    <cfRule type="top10" dxfId="177" priority="339" rank="3"/>
  </conditionalFormatting>
  <conditionalFormatting sqref="X53:X55">
    <cfRule type="top10" dxfId="176" priority="340" rank="3"/>
  </conditionalFormatting>
  <conditionalFormatting sqref="Y53:Y55">
    <cfRule type="top10" dxfId="175" priority="341" rank="3"/>
  </conditionalFormatting>
  <conditionalFormatting sqref="Z53:Z55">
    <cfRule type="top10" dxfId="174" priority="342" rank="3"/>
  </conditionalFormatting>
  <conditionalFormatting sqref="AA53:AA55">
    <cfRule type="top10" dxfId="173" priority="343" rank="3"/>
  </conditionalFormatting>
  <conditionalFormatting sqref="AB53:AB55">
    <cfRule type="top10" dxfId="172" priority="344" rank="3"/>
  </conditionalFormatting>
  <conditionalFormatting sqref="AC53:AC55">
    <cfRule type="top10" dxfId="171" priority="345" rank="3"/>
  </conditionalFormatting>
  <conditionalFormatting sqref="AD53:AD55">
    <cfRule type="top10" dxfId="170" priority="346" rank="3"/>
  </conditionalFormatting>
  <conditionalFormatting sqref="AE53:AE55">
    <cfRule type="top10" dxfId="169" priority="347" rank="3"/>
  </conditionalFormatting>
  <conditionalFormatting sqref="AF53:AF55">
    <cfRule type="top10" dxfId="168" priority="348" rank="3"/>
  </conditionalFormatting>
  <conditionalFormatting sqref="C29">
    <cfRule type="top10" dxfId="167" priority="386" bottom="1" rank="3"/>
  </conditionalFormatting>
  <conditionalFormatting sqref="D29">
    <cfRule type="top10" dxfId="166" priority="387" rank="3"/>
  </conditionalFormatting>
  <conditionalFormatting sqref="E29">
    <cfRule type="top10" dxfId="165" priority="388" bottom="1" rank="3"/>
  </conditionalFormatting>
  <conditionalFormatting sqref="F29">
    <cfRule type="top10" dxfId="164" priority="389" bottom="1" rank="3"/>
  </conditionalFormatting>
  <conditionalFormatting sqref="G29">
    <cfRule type="top10" dxfId="163" priority="390" bottom="1" rank="3"/>
  </conditionalFormatting>
  <conditionalFormatting sqref="H29">
    <cfRule type="top10" dxfId="162" priority="391" rank="3"/>
  </conditionalFormatting>
  <conditionalFormatting sqref="I29">
    <cfRule type="top10" dxfId="161" priority="392" rank="3"/>
  </conditionalFormatting>
  <conditionalFormatting sqref="J29">
    <cfRule type="top10" dxfId="160" priority="393" rank="3"/>
  </conditionalFormatting>
  <conditionalFormatting sqref="K29">
    <cfRule type="top10" dxfId="159" priority="394" rank="3"/>
  </conditionalFormatting>
  <conditionalFormatting sqref="L29">
    <cfRule type="top10" dxfId="158" priority="395" rank="3"/>
  </conditionalFormatting>
  <conditionalFormatting sqref="M29">
    <cfRule type="top10" dxfId="157" priority="396" rank="3"/>
  </conditionalFormatting>
  <conditionalFormatting sqref="N29">
    <cfRule type="top10" dxfId="156" priority="397" rank="3"/>
  </conditionalFormatting>
  <conditionalFormatting sqref="C2:C24">
    <cfRule type="top10" dxfId="155" priority="398" rank="3"/>
  </conditionalFormatting>
  <conditionalFormatting sqref="D2:D24">
    <cfRule type="top10" dxfId="154" priority="399" rank="3"/>
  </conditionalFormatting>
  <conditionalFormatting sqref="E2:E24">
    <cfRule type="top10" dxfId="153" priority="400" rank="3"/>
  </conditionalFormatting>
  <conditionalFormatting sqref="F2:F24">
    <cfRule type="top10" dxfId="152" priority="401" rank="3"/>
  </conditionalFormatting>
  <conditionalFormatting sqref="G2:G24">
    <cfRule type="top10" dxfId="151" priority="402" rank="3"/>
  </conditionalFormatting>
  <conditionalFormatting sqref="H2:H24">
    <cfRule type="top10" dxfId="150" priority="403" rank="3"/>
  </conditionalFormatting>
  <conditionalFormatting sqref="I2:I24">
    <cfRule type="top10" dxfId="149" priority="404" rank="3"/>
  </conditionalFormatting>
  <conditionalFormatting sqref="J2:J24">
    <cfRule type="top10" dxfId="148" priority="405" rank="3"/>
  </conditionalFormatting>
  <conditionalFormatting sqref="K2:K24">
    <cfRule type="top10" dxfId="147" priority="406" rank="3"/>
  </conditionalFormatting>
  <conditionalFormatting sqref="L2:L24">
    <cfRule type="top10" dxfId="146" priority="407" rank="3"/>
  </conditionalFormatting>
  <conditionalFormatting sqref="M2:M24">
    <cfRule type="top10" dxfId="145" priority="408" rank="3"/>
  </conditionalFormatting>
  <conditionalFormatting sqref="N2:N24">
    <cfRule type="top10" dxfId="144" priority="409" rank="3"/>
  </conditionalFormatting>
  <conditionalFormatting sqref="O2:O24">
    <cfRule type="top10" dxfId="143" priority="410" rank="3"/>
  </conditionalFormatting>
  <conditionalFormatting sqref="P2:P24">
    <cfRule type="top10" dxfId="142" priority="411" rank="3"/>
  </conditionalFormatting>
  <conditionalFormatting sqref="Q2:Q24">
    <cfRule type="top10" dxfId="141" priority="412" rank="3"/>
  </conditionalFormatting>
  <conditionalFormatting sqref="R2:R24">
    <cfRule type="top10" dxfId="140" priority="413" rank="3"/>
  </conditionalFormatting>
  <conditionalFormatting sqref="S2:S24">
    <cfRule type="top10" dxfId="139" priority="414" rank="3"/>
  </conditionalFormatting>
  <conditionalFormatting sqref="T2:T24">
    <cfRule type="top10" dxfId="138" priority="415" rank="3"/>
  </conditionalFormatting>
  <conditionalFormatting sqref="U2:U24">
    <cfRule type="top10" dxfId="137" priority="416" rank="3"/>
  </conditionalFormatting>
  <conditionalFormatting sqref="V2:V24">
    <cfRule type="top10" dxfId="136" priority="417" rank="3"/>
  </conditionalFormatting>
  <conditionalFormatting sqref="W2:W24">
    <cfRule type="top10" dxfId="135" priority="418" rank="3"/>
  </conditionalFormatting>
  <conditionalFormatting sqref="X2:X24">
    <cfRule type="top10" dxfId="134" priority="419" rank="3"/>
  </conditionalFormatting>
  <conditionalFormatting sqref="Y2:Y24">
    <cfRule type="top10" dxfId="133" priority="420" rank="3"/>
  </conditionalFormatting>
  <conditionalFormatting sqref="Z2:Z24">
    <cfRule type="top10" dxfId="132" priority="421" rank="3"/>
  </conditionalFormatting>
  <conditionalFormatting sqref="AA2:AA24">
    <cfRule type="top10" dxfId="131" priority="422" rank="3"/>
  </conditionalFormatting>
  <conditionalFormatting sqref="AB2:AB24">
    <cfRule type="top10" dxfId="130" priority="423" rank="3"/>
  </conditionalFormatting>
  <conditionalFormatting sqref="AC2:AC24">
    <cfRule type="top10" dxfId="129" priority="424" rank="3"/>
  </conditionalFormatting>
  <conditionalFormatting sqref="AD2:AD24">
    <cfRule type="top10" dxfId="128" priority="425" rank="3"/>
  </conditionalFormatting>
  <conditionalFormatting sqref="AE2:AE24">
    <cfRule type="top10" dxfId="127" priority="426" rank="3"/>
  </conditionalFormatting>
  <conditionalFormatting sqref="AF2:AF24">
    <cfRule type="top10" dxfId="126" priority="427" rank="3"/>
  </conditionalFormatting>
  <conditionalFormatting sqref="AG2:AG24">
    <cfRule type="top10" dxfId="125" priority="428" rank="3"/>
  </conditionalFormatting>
  <conditionalFormatting sqref="AH2:AH24">
    <cfRule type="top10" dxfId="124" priority="429" rank="3"/>
  </conditionalFormatting>
  <conditionalFormatting sqref="AI2:AI24">
    <cfRule type="top10" dxfId="123" priority="430" rank="3"/>
  </conditionalFormatting>
  <conditionalFormatting sqref="AJ2:AJ24">
    <cfRule type="top10" dxfId="122" priority="431" rank="3"/>
  </conditionalFormatting>
  <conditionalFormatting sqref="AK2:AK24">
    <cfRule type="top10" dxfId="121" priority="432" rank="3"/>
  </conditionalFormatting>
  <conditionalFormatting sqref="AL2:AL24">
    <cfRule type="top10" dxfId="120" priority="433" rank="3"/>
  </conditionalFormatting>
  <conditionalFormatting sqref="AM2:AM24">
    <cfRule type="top10" dxfId="119" priority="434" rank="3"/>
  </conditionalFormatting>
  <conditionalFormatting sqref="C30:C52">
    <cfRule type="top10" dxfId="118" priority="435" bottom="1" rank="3"/>
  </conditionalFormatting>
  <conditionalFormatting sqref="D30:D52">
    <cfRule type="top10" dxfId="117" priority="436" rank="3"/>
  </conditionalFormatting>
  <conditionalFormatting sqref="E30:E52">
    <cfRule type="top10" dxfId="116" priority="437" bottom="1" rank="3"/>
  </conditionalFormatting>
  <conditionalFormatting sqref="F30:F52">
    <cfRule type="top10" dxfId="115" priority="438" bottom="1" rank="3"/>
  </conditionalFormatting>
  <conditionalFormatting sqref="G30:G52">
    <cfRule type="top10" dxfId="114" priority="439" bottom="1" rank="3"/>
  </conditionalFormatting>
  <conditionalFormatting sqref="H30:H52">
    <cfRule type="top10" dxfId="113" priority="440" rank="3"/>
  </conditionalFormatting>
  <conditionalFormatting sqref="I30:I52">
    <cfRule type="top10" dxfId="112" priority="441" rank="3"/>
  </conditionalFormatting>
  <conditionalFormatting sqref="J30:J52">
    <cfRule type="top10" dxfId="111" priority="442" rank="3"/>
  </conditionalFormatting>
  <conditionalFormatting sqref="K30:K52">
    <cfRule type="top10" dxfId="110" priority="443" rank="3"/>
  </conditionalFormatting>
  <conditionalFormatting sqref="L30:L52">
    <cfRule type="top10" dxfId="109" priority="444" rank="3"/>
  </conditionalFormatting>
  <conditionalFormatting sqref="M30:M52">
    <cfRule type="top10" dxfId="108" priority="445" rank="3"/>
  </conditionalFormatting>
  <conditionalFormatting sqref="N30:N52">
    <cfRule type="top10" dxfId="107" priority="446" rank="3"/>
  </conditionalFormatting>
  <conditionalFormatting sqref="O30:O52">
    <cfRule type="top10" dxfId="106" priority="447" rank="3"/>
  </conditionalFormatting>
  <conditionalFormatting sqref="P30:P52">
    <cfRule type="top10" dxfId="105" priority="448" rank="3"/>
  </conditionalFormatting>
  <conditionalFormatting sqref="Q30:Q52">
    <cfRule type="top10" dxfId="104" priority="449" rank="3"/>
  </conditionalFormatting>
  <conditionalFormatting sqref="R30:R52">
    <cfRule type="top10" dxfId="103" priority="450" rank="3"/>
  </conditionalFormatting>
  <conditionalFormatting sqref="S30:S52">
    <cfRule type="top10" dxfId="102" priority="451" rank="3"/>
  </conditionalFormatting>
  <conditionalFormatting sqref="T30:T52">
    <cfRule type="top10" dxfId="101" priority="452" rank="3"/>
  </conditionalFormatting>
  <conditionalFormatting sqref="U30:U52">
    <cfRule type="top10" dxfId="100" priority="453" rank="3"/>
  </conditionalFormatting>
  <conditionalFormatting sqref="V30:V52">
    <cfRule type="top10" dxfId="99" priority="454" rank="3"/>
  </conditionalFormatting>
  <conditionalFormatting sqref="W30:W52">
    <cfRule type="top10" dxfId="98" priority="455" rank="3"/>
  </conditionalFormatting>
  <conditionalFormatting sqref="X30:X52">
    <cfRule type="top10" dxfId="97" priority="456" rank="3"/>
  </conditionalFormatting>
  <conditionalFormatting sqref="Y30:Y52">
    <cfRule type="top10" dxfId="96" priority="457" rank="3"/>
  </conditionalFormatting>
  <conditionalFormatting sqref="Z30:Z52">
    <cfRule type="top10" dxfId="95" priority="458" rank="3"/>
  </conditionalFormatting>
  <conditionalFormatting sqref="AA30:AA52">
    <cfRule type="top10" dxfId="94" priority="459" rank="3"/>
  </conditionalFormatting>
  <conditionalFormatting sqref="AB30:AB52">
    <cfRule type="top10" dxfId="93" priority="460" rank="3"/>
  </conditionalFormatting>
  <conditionalFormatting sqref="AC30:AC52">
    <cfRule type="top10" dxfId="92" priority="461" rank="3"/>
  </conditionalFormatting>
  <conditionalFormatting sqref="AD30:AD52">
    <cfRule type="top10" dxfId="91" priority="462" rank="3"/>
  </conditionalFormatting>
  <conditionalFormatting sqref="AE30:AE52">
    <cfRule type="top10" dxfId="90" priority="463" rank="3"/>
  </conditionalFormatting>
  <conditionalFormatting sqref="AF30:AF52">
    <cfRule type="top10" dxfId="89" priority="464" rank="3"/>
  </conditionalFormatting>
  <pageMargins left="0.7" right="0.7" top="0.75" bottom="0.75" header="0.3" footer="0.3"/>
  <pageSetup paperSize="9" scale="54" orientation="landscape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3C1993-06F4-442A-AE9C-3FC9639A9600}">
          <x14:formula1>
            <xm:f>データ!$A:$A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95DA1-9C7F-4DA2-8471-76B1CC807DE9}">
  <sheetPr codeName="Sheet2"/>
  <dimension ref="A1:D18"/>
  <sheetViews>
    <sheetView workbookViewId="0">
      <selection sqref="A1:B1"/>
    </sheetView>
  </sheetViews>
  <sheetFormatPr defaultColWidth="8.6875" defaultRowHeight="9.75" x14ac:dyDescent="0.7"/>
  <cols>
    <col min="1" max="1" width="2.9375" style="22" bestFit="1" customWidth="1"/>
    <col min="2" max="2" width="6" style="33" bestFit="1" customWidth="1"/>
    <col min="3" max="3" width="28.3125" style="25" bestFit="1" customWidth="1"/>
    <col min="4" max="4" width="41.1875" style="25" bestFit="1" customWidth="1"/>
    <col min="5" max="16384" width="8.6875" style="25"/>
  </cols>
  <sheetData>
    <row r="1" spans="1:4" s="22" customFormat="1" ht="18" customHeight="1" x14ac:dyDescent="0.7">
      <c r="A1" s="82" t="s">
        <v>175</v>
      </c>
      <c r="B1" s="83"/>
      <c r="C1" s="21" t="s">
        <v>174</v>
      </c>
      <c r="D1" s="21" t="s">
        <v>173</v>
      </c>
    </row>
    <row r="2" spans="1:4" x14ac:dyDescent="0.7">
      <c r="A2" s="78" t="s">
        <v>172</v>
      </c>
      <c r="B2" s="23" t="s">
        <v>113</v>
      </c>
      <c r="C2" s="24" t="s">
        <v>171</v>
      </c>
      <c r="D2" s="24" t="s">
        <v>170</v>
      </c>
    </row>
    <row r="3" spans="1:4" x14ac:dyDescent="0.7">
      <c r="A3" s="78"/>
      <c r="B3" s="23" t="s">
        <v>114</v>
      </c>
      <c r="C3" s="24" t="s">
        <v>169</v>
      </c>
      <c r="D3" s="24" t="s">
        <v>168</v>
      </c>
    </row>
    <row r="4" spans="1:4" x14ac:dyDescent="0.7">
      <c r="A4" s="78"/>
      <c r="B4" s="23" t="s">
        <v>115</v>
      </c>
      <c r="C4" s="24" t="s">
        <v>167</v>
      </c>
      <c r="D4" s="24" t="s">
        <v>166</v>
      </c>
    </row>
    <row r="5" spans="1:4" x14ac:dyDescent="0.7">
      <c r="A5" s="78"/>
      <c r="B5" s="23" t="s">
        <v>116</v>
      </c>
      <c r="C5" s="24" t="s">
        <v>165</v>
      </c>
      <c r="D5" s="24" t="s">
        <v>164</v>
      </c>
    </row>
    <row r="6" spans="1:4" x14ac:dyDescent="0.7">
      <c r="A6" s="78"/>
      <c r="B6" s="23" t="s">
        <v>117</v>
      </c>
      <c r="C6" s="24" t="s">
        <v>163</v>
      </c>
      <c r="D6" s="24" t="s">
        <v>162</v>
      </c>
    </row>
    <row r="7" spans="1:4" x14ac:dyDescent="0.7">
      <c r="A7" s="78"/>
      <c r="B7" s="23" t="s">
        <v>119</v>
      </c>
      <c r="C7" s="24" t="s">
        <v>161</v>
      </c>
      <c r="D7" s="24" t="s">
        <v>160</v>
      </c>
    </row>
    <row r="8" spans="1:4" x14ac:dyDescent="0.7">
      <c r="A8" s="78"/>
      <c r="B8" s="23" t="s">
        <v>121</v>
      </c>
      <c r="C8" s="24" t="s">
        <v>159</v>
      </c>
      <c r="D8" s="24" t="s">
        <v>158</v>
      </c>
    </row>
    <row r="9" spans="1:4" ht="58.9" thickBot="1" x14ac:dyDescent="0.75">
      <c r="A9" s="78"/>
      <c r="B9" s="26" t="s">
        <v>122</v>
      </c>
      <c r="C9" s="27" t="s">
        <v>157</v>
      </c>
      <c r="D9" s="28" t="s">
        <v>176</v>
      </c>
    </row>
    <row r="10" spans="1:4" ht="10.15" thickTop="1" x14ac:dyDescent="0.7">
      <c r="A10" s="79" t="s">
        <v>156</v>
      </c>
      <c r="B10" s="29" t="s">
        <v>129</v>
      </c>
      <c r="C10" s="30" t="s">
        <v>179</v>
      </c>
      <c r="D10" s="30" t="s">
        <v>177</v>
      </c>
    </row>
    <row r="11" spans="1:4" x14ac:dyDescent="0.7">
      <c r="A11" s="80"/>
      <c r="B11" s="29" t="s">
        <v>130</v>
      </c>
      <c r="C11" s="30" t="s">
        <v>155</v>
      </c>
      <c r="D11" s="30" t="s">
        <v>154</v>
      </c>
    </row>
    <row r="12" spans="1:4" x14ac:dyDescent="0.7">
      <c r="A12" s="78"/>
      <c r="B12" s="23" t="s">
        <v>153</v>
      </c>
      <c r="C12" s="24" t="s">
        <v>152</v>
      </c>
      <c r="D12" s="32" t="s">
        <v>151</v>
      </c>
    </row>
    <row r="13" spans="1:4" x14ac:dyDescent="0.7">
      <c r="A13" s="78"/>
      <c r="B13" s="23" t="s">
        <v>132</v>
      </c>
      <c r="C13" s="24" t="s">
        <v>150</v>
      </c>
      <c r="D13" s="24" t="s">
        <v>149</v>
      </c>
    </row>
    <row r="14" spans="1:4" x14ac:dyDescent="0.7">
      <c r="A14" s="78"/>
      <c r="B14" s="23" t="s">
        <v>134</v>
      </c>
      <c r="C14" s="24" t="s">
        <v>148</v>
      </c>
      <c r="D14" s="24" t="s">
        <v>147</v>
      </c>
    </row>
    <row r="15" spans="1:4" x14ac:dyDescent="0.7">
      <c r="A15" s="78"/>
      <c r="B15" s="23" t="s">
        <v>146</v>
      </c>
      <c r="C15" s="24" t="s">
        <v>180</v>
      </c>
      <c r="D15" s="24" t="s">
        <v>178</v>
      </c>
    </row>
    <row r="16" spans="1:4" x14ac:dyDescent="0.7">
      <c r="A16" s="78"/>
      <c r="B16" s="23" t="s">
        <v>137</v>
      </c>
      <c r="C16" s="24" t="s">
        <v>145</v>
      </c>
      <c r="D16" s="24" t="s">
        <v>144</v>
      </c>
    </row>
    <row r="17" spans="1:4" ht="78.400000000000006" thickBot="1" x14ac:dyDescent="0.75">
      <c r="A17" s="81"/>
      <c r="B17" s="26" t="s">
        <v>12</v>
      </c>
      <c r="C17" s="27" t="s">
        <v>143</v>
      </c>
      <c r="D17" s="28" t="s">
        <v>142</v>
      </c>
    </row>
    <row r="18" spans="1:4" ht="8.25" thickTop="1" x14ac:dyDescent="0.7">
      <c r="A18" s="31" t="s">
        <v>141</v>
      </c>
      <c r="B18" s="29" t="s">
        <v>128</v>
      </c>
      <c r="C18" s="30" t="s">
        <v>140</v>
      </c>
      <c r="D18" s="30" t="s">
        <v>139</v>
      </c>
    </row>
  </sheetData>
  <mergeCells count="3">
    <mergeCell ref="A2:A9"/>
    <mergeCell ref="A10:A17"/>
    <mergeCell ref="A1:B1"/>
  </mergeCells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A709-70AC-4310-9130-51C7FA719E9E}">
  <sheetPr codeName="Sheet4">
    <tabColor theme="1"/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/>
      <c r="B2" s="96"/>
      <c r="C2" s="96"/>
      <c r="D2" s="96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/>
      <c r="AD2" s="17" t="s">
        <v>46</v>
      </c>
      <c r="AE2" s="92"/>
      <c r="AF2" s="93"/>
      <c r="AG2" s="94"/>
      <c r="AH2" s="89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/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/>
      <c r="E5" s="95"/>
      <c r="F5" s="9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10">
        <f>SUM(G5:S5)</f>
        <v>0</v>
      </c>
      <c r="U5" s="10">
        <f>IF(D5="九州工業大学",G30,AT30)</f>
        <v>0</v>
      </c>
      <c r="V5" s="10">
        <f>IF(D5="九州工業大学",AA30,N30)</f>
        <v>0</v>
      </c>
      <c r="AC5" s="14" t="s">
        <v>94</v>
      </c>
    </row>
    <row r="6" spans="1:47" ht="18" thickBot="1" x14ac:dyDescent="0.75">
      <c r="C6" s="95"/>
      <c r="D6" s="95"/>
      <c r="E6" s="95"/>
      <c r="F6" s="95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10">
        <f>SUM(G6:S6)</f>
        <v>0</v>
      </c>
      <c r="U6" s="10">
        <f>IF(D6="九州工業大学",G30,AT30)</f>
        <v>0</v>
      </c>
      <c r="V6" s="10">
        <f>IF(D6="九州工業大学",AA30,N30)</f>
        <v>0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/>
      <c r="C10" s="10" t="str">
        <f>IF(D10="","",VLOOKUP(D10,データ!A:C,2,FALSE))</f>
        <v/>
      </c>
      <c r="D10" s="7"/>
      <c r="E10" s="9"/>
      <c r="F10" s="10" t="str">
        <f>IF(D10="","",E10-R10-S10-W10-X10)</f>
        <v/>
      </c>
      <c r="G10" s="10" t="str">
        <f>IF(D10="","",SUM(J10:M10))</f>
        <v/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10" t="str">
        <f>IF(AC10="","",VLOOKUP(AC10,データ!A:C,2,FALSE))</f>
        <v/>
      </c>
      <c r="AC10" s="7"/>
      <c r="AD10" s="10" t="str">
        <f>IF(AC10="","",IF(AJ10="",0,1))</f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</row>
    <row r="11" spans="1:47" x14ac:dyDescent="0.7">
      <c r="A11" s="2">
        <v>2</v>
      </c>
      <c r="B11" s="8"/>
      <c r="C11" s="10" t="str">
        <f>IF(D11="","",VLOOKUP(D11,データ!A:C,2,FALSE))</f>
        <v/>
      </c>
      <c r="D11" s="7"/>
      <c r="E11" s="9"/>
      <c r="F11" s="10" t="str">
        <f t="shared" ref="F11:F29" si="0">IF(D11="","",E11-R11-S11-W11-X11)</f>
        <v/>
      </c>
      <c r="G11" s="10" t="str">
        <f t="shared" ref="G11:G29" si="1">IF(D11="","",SUM(J11:M11))</f>
        <v/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/>
      <c r="C12" s="10" t="str">
        <f>IF(D12="","",VLOOKUP(D12,データ!A:C,2,FALSE))</f>
        <v/>
      </c>
      <c r="D12" s="7"/>
      <c r="E12" s="9"/>
      <c r="F12" s="10" t="str">
        <f t="shared" si="0"/>
        <v/>
      </c>
      <c r="G12" s="10" t="str">
        <f t="shared" si="1"/>
        <v/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/>
      <c r="C13" s="10" t="str">
        <f>IF(D13="","",VLOOKUP(D13,データ!A:C,2,FALSE))</f>
        <v/>
      </c>
      <c r="D13" s="7"/>
      <c r="E13" s="9"/>
      <c r="F13" s="10" t="str">
        <f t="shared" si="0"/>
        <v/>
      </c>
      <c r="G13" s="10" t="str">
        <f t="shared" si="1"/>
        <v/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/>
      <c r="C14" s="10" t="str">
        <f>IF(D14="","",VLOOKUP(D14,データ!A:C,2,FALSE))</f>
        <v/>
      </c>
      <c r="D14" s="7"/>
      <c r="E14" s="9"/>
      <c r="F14" s="10" t="str">
        <f t="shared" si="0"/>
        <v/>
      </c>
      <c r="G14" s="10" t="str">
        <f t="shared" si="1"/>
        <v/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/>
      <c r="C15" s="10" t="str">
        <f>IF(D15="","",VLOOKUP(D15,データ!A:C,2,FALSE))</f>
        <v/>
      </c>
      <c r="D15" s="7"/>
      <c r="E15" s="9"/>
      <c r="F15" s="10" t="str">
        <f t="shared" si="0"/>
        <v/>
      </c>
      <c r="G15" s="10" t="str">
        <f t="shared" si="1"/>
        <v/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/>
      <c r="C16" s="10" t="str">
        <f>IF(D16="","",VLOOKUP(D16,データ!A:C,2,FALSE))</f>
        <v/>
      </c>
      <c r="D16" s="7"/>
      <c r="E16" s="9"/>
      <c r="F16" s="10" t="str">
        <f t="shared" si="0"/>
        <v/>
      </c>
      <c r="G16" s="10" t="str">
        <f t="shared" si="1"/>
        <v/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/>
      <c r="C17" s="10" t="str">
        <f>IF(D17="","",VLOOKUP(D17,データ!A:C,2,FALSE))</f>
        <v/>
      </c>
      <c r="D17" s="7"/>
      <c r="E17" s="9"/>
      <c r="F17" s="10" t="str">
        <f t="shared" si="0"/>
        <v/>
      </c>
      <c r="G17" s="10" t="str">
        <f t="shared" si="1"/>
        <v/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/>
      <c r="C18" s="10" t="str">
        <f>IF(D18="","",VLOOKUP(D18,データ!A:C,2,FALSE))</f>
        <v/>
      </c>
      <c r="D18" s="7"/>
      <c r="E18" s="9"/>
      <c r="F18" s="10" t="str">
        <f t="shared" si="0"/>
        <v/>
      </c>
      <c r="G18" s="10" t="str">
        <f t="shared" si="1"/>
        <v/>
      </c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/>
      <c r="C19" s="10" t="str">
        <f>IF(D19="","",VLOOKUP(D19,データ!A:C,2,FALSE))</f>
        <v/>
      </c>
      <c r="D19" s="7"/>
      <c r="E19" s="9"/>
      <c r="F19" s="10" t="str">
        <f t="shared" si="0"/>
        <v/>
      </c>
      <c r="G19" s="10" t="str">
        <f t="shared" si="1"/>
        <v/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0</v>
      </c>
      <c r="F30" s="1">
        <f t="shared" si="3"/>
        <v>0</v>
      </c>
      <c r="G30" s="1">
        <f t="shared" si="3"/>
        <v>0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0</v>
      </c>
      <c r="O30" s="1">
        <f t="shared" si="3"/>
        <v>0</v>
      </c>
      <c r="P30" s="1">
        <f t="shared" si="3"/>
        <v>0</v>
      </c>
      <c r="Q30" s="1">
        <f t="shared" si="3"/>
        <v>0</v>
      </c>
      <c r="R30" s="1">
        <f t="shared" si="3"/>
        <v>0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0</v>
      </c>
      <c r="Z30" s="1">
        <f t="shared" si="3"/>
        <v>0</v>
      </c>
      <c r="AA30" s="1">
        <f t="shared" si="3"/>
        <v>0</v>
      </c>
      <c r="AJ30" s="1">
        <f t="shared" ref="AJ30:AU30" si="4">SUM(AJ10:AJ29)</f>
        <v>0</v>
      </c>
      <c r="AK30" s="1">
        <f t="shared" si="4"/>
        <v>0</v>
      </c>
      <c r="AL30" s="1">
        <f t="shared" si="4"/>
        <v>0</v>
      </c>
      <c r="AM30" s="1">
        <f t="shared" si="4"/>
        <v>0</v>
      </c>
      <c r="AN30" s="1">
        <f t="shared" si="4"/>
        <v>0</v>
      </c>
      <c r="AO30" s="1">
        <f t="shared" si="4"/>
        <v>0</v>
      </c>
      <c r="AP30" s="1">
        <f t="shared" si="4"/>
        <v>0</v>
      </c>
      <c r="AQ30" s="1">
        <f t="shared" si="4"/>
        <v>0</v>
      </c>
      <c r="AR30" s="1">
        <f>SUM(AR10:AR29)</f>
        <v>0</v>
      </c>
      <c r="AS30" s="1">
        <f>SUM(AS10:AS29)</f>
        <v>0</v>
      </c>
      <c r="AT30" s="1">
        <f>SUM(AT10:AT29)</f>
        <v>0</v>
      </c>
      <c r="AU30" s="1">
        <f t="shared" si="4"/>
        <v>0</v>
      </c>
    </row>
    <row r="31" spans="1:47" ht="14.25" x14ac:dyDescent="0.7">
      <c r="D31" s="1" t="e">
        <f>G30/F30</f>
        <v>#DIV/0!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N50" si="5">IFERROR(VLOOKUP($D41,$D$10:$AA$29,E$71,FALSE),0)</f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ref="O41:AA50" si="6">IFERROR(VLOOKUP($D41,$D$10:$AA$29,O$71,FALSE),0)</f>
        <v>0</v>
      </c>
      <c r="P41" s="1">
        <f t="shared" si="6"/>
        <v>0</v>
      </c>
      <c r="Q41" s="1">
        <f t="shared" si="6"/>
        <v>0</v>
      </c>
      <c r="R41" s="1">
        <f t="shared" si="6"/>
        <v>0</v>
      </c>
      <c r="S41" s="1">
        <f t="shared" si="6"/>
        <v>0</v>
      </c>
      <c r="T41" s="1">
        <f t="shared" si="6"/>
        <v>0</v>
      </c>
      <c r="U41" s="1">
        <f t="shared" si="6"/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0</v>
      </c>
      <c r="AA41" s="1">
        <f t="shared" si="6"/>
        <v>0</v>
      </c>
      <c r="AD41" s="1">
        <f t="shared" ref="AD41:AM50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ref="AN41:AU50" si="8">IFERROR(VLOOKUP($D41,$AC$10:$AU$29,AN$71,FALSE),0)</f>
        <v>0</v>
      </c>
      <c r="AO41" s="1">
        <f t="shared" si="8"/>
        <v>0</v>
      </c>
      <c r="AP41" s="1">
        <f t="shared" si="8"/>
        <v>0</v>
      </c>
      <c r="AQ41" s="1">
        <f t="shared" si="8"/>
        <v>0</v>
      </c>
      <c r="AR41" s="1">
        <f t="shared" si="8"/>
        <v>0</v>
      </c>
      <c r="AS41" s="1">
        <f t="shared" si="8"/>
        <v>0</v>
      </c>
      <c r="AT41" s="1">
        <f t="shared" si="8"/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6"/>
        <v>0</v>
      </c>
      <c r="P42" s="1">
        <f t="shared" si="6"/>
        <v>0</v>
      </c>
      <c r="Q42" s="1">
        <f t="shared" si="6"/>
        <v>0</v>
      </c>
      <c r="R42" s="1">
        <f t="shared" si="6"/>
        <v>0</v>
      </c>
      <c r="S42" s="1">
        <f t="shared" si="6"/>
        <v>0</v>
      </c>
      <c r="T42" s="1">
        <f t="shared" si="6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0</v>
      </c>
      <c r="F43" s="1">
        <f t="shared" si="5"/>
        <v>0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6"/>
        <v>0</v>
      </c>
      <c r="P43" s="1">
        <f t="shared" si="6"/>
        <v>0</v>
      </c>
      <c r="Q43" s="1">
        <f t="shared" si="6"/>
        <v>0</v>
      </c>
      <c r="R43" s="1">
        <f t="shared" si="6"/>
        <v>0</v>
      </c>
      <c r="S43" s="1">
        <f t="shared" si="6"/>
        <v>0</v>
      </c>
      <c r="T43" s="1">
        <f t="shared" si="6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6"/>
        <v>0</v>
      </c>
      <c r="P44" s="1">
        <f t="shared" si="6"/>
        <v>0</v>
      </c>
      <c r="Q44" s="1">
        <f t="shared" si="6"/>
        <v>0</v>
      </c>
      <c r="R44" s="1">
        <f t="shared" si="6"/>
        <v>0</v>
      </c>
      <c r="S44" s="1">
        <f t="shared" si="6"/>
        <v>0</v>
      </c>
      <c r="T44" s="1">
        <f t="shared" si="6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6"/>
        <v>0</v>
      </c>
      <c r="P45" s="1">
        <f t="shared" si="6"/>
        <v>0</v>
      </c>
      <c r="Q45" s="1">
        <f t="shared" si="6"/>
        <v>0</v>
      </c>
      <c r="R45" s="1">
        <f t="shared" si="6"/>
        <v>0</v>
      </c>
      <c r="S45" s="1">
        <f t="shared" si="6"/>
        <v>0</v>
      </c>
      <c r="T45" s="1">
        <f t="shared" si="6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6"/>
        <v>0</v>
      </c>
      <c r="P46" s="1">
        <f t="shared" si="6"/>
        <v>0</v>
      </c>
      <c r="Q46" s="1">
        <f t="shared" si="6"/>
        <v>0</v>
      </c>
      <c r="R46" s="1">
        <f t="shared" si="6"/>
        <v>0</v>
      </c>
      <c r="S46" s="1">
        <f t="shared" si="6"/>
        <v>0</v>
      </c>
      <c r="T46" s="1">
        <f t="shared" si="6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6"/>
        <v>0</v>
      </c>
      <c r="P47" s="1">
        <f t="shared" si="6"/>
        <v>0</v>
      </c>
      <c r="Q47" s="1">
        <f t="shared" si="6"/>
        <v>0</v>
      </c>
      <c r="R47" s="1">
        <f t="shared" si="6"/>
        <v>0</v>
      </c>
      <c r="S47" s="1">
        <f t="shared" si="6"/>
        <v>0</v>
      </c>
      <c r="T47" s="1">
        <f t="shared" si="6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6"/>
        <v>0</v>
      </c>
      <c r="P48" s="1">
        <f t="shared" si="6"/>
        <v>0</v>
      </c>
      <c r="Q48" s="1">
        <f t="shared" si="6"/>
        <v>0</v>
      </c>
      <c r="R48" s="1">
        <f t="shared" si="6"/>
        <v>0</v>
      </c>
      <c r="S48" s="1">
        <f t="shared" si="6"/>
        <v>0</v>
      </c>
      <c r="T48" s="1">
        <f t="shared" si="6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6"/>
        <v>0</v>
      </c>
      <c r="P49" s="1">
        <f t="shared" si="6"/>
        <v>0</v>
      </c>
      <c r="Q49" s="1">
        <f t="shared" si="6"/>
        <v>0</v>
      </c>
      <c r="R49" s="1">
        <f t="shared" si="6"/>
        <v>0</v>
      </c>
      <c r="S49" s="1">
        <f t="shared" si="6"/>
        <v>0</v>
      </c>
      <c r="T49" s="1">
        <f t="shared" si="6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6"/>
        <v>0</v>
      </c>
      <c r="P50" s="1">
        <f t="shared" si="6"/>
        <v>0</v>
      </c>
      <c r="Q50" s="1">
        <f t="shared" si="6"/>
        <v>0</v>
      </c>
      <c r="R50" s="1">
        <f t="shared" si="6"/>
        <v>0</v>
      </c>
      <c r="S50" s="1">
        <f t="shared" si="6"/>
        <v>0</v>
      </c>
      <c r="T50" s="1">
        <f t="shared" si="6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ref="E51:T66" si="9">IFERROR(VLOOKUP($D51,$D$10:$AA$29,E$71,FALSE),0)</f>
        <v>0</v>
      </c>
      <c r="F51" s="1">
        <f t="shared" si="9"/>
        <v>0</v>
      </c>
      <c r="G51" s="1">
        <f t="shared" si="9"/>
        <v>0</v>
      </c>
      <c r="H51" s="1">
        <f t="shared" si="9"/>
        <v>0</v>
      </c>
      <c r="I51" s="1">
        <f t="shared" si="9"/>
        <v>0</v>
      </c>
      <c r="J51" s="1">
        <f t="shared" si="9"/>
        <v>0</v>
      </c>
      <c r="K51" s="1">
        <f t="shared" si="9"/>
        <v>0</v>
      </c>
      <c r="L51" s="1">
        <f t="shared" si="9"/>
        <v>0</v>
      </c>
      <c r="M51" s="1">
        <f t="shared" si="9"/>
        <v>0</v>
      </c>
      <c r="N51" s="1">
        <f t="shared" si="9"/>
        <v>0</v>
      </c>
      <c r="O51" s="1">
        <f t="shared" si="9"/>
        <v>0</v>
      </c>
      <c r="P51" s="1">
        <f t="shared" si="9"/>
        <v>0</v>
      </c>
      <c r="Q51" s="1">
        <f t="shared" si="9"/>
        <v>0</v>
      </c>
      <c r="R51" s="1">
        <f t="shared" si="9"/>
        <v>0</v>
      </c>
      <c r="S51" s="1">
        <f t="shared" si="9"/>
        <v>0</v>
      </c>
      <c r="T51" s="1">
        <f t="shared" si="9"/>
        <v>0</v>
      </c>
      <c r="U51" s="1">
        <f t="shared" ref="U51:AA70" si="10">IFERROR(VLOOKUP($D51,$D$10:$AA$29,U$71,FALSE),0)</f>
        <v>0</v>
      </c>
      <c r="V51" s="1">
        <f t="shared" si="10"/>
        <v>0</v>
      </c>
      <c r="W51" s="1">
        <f t="shared" si="10"/>
        <v>0</v>
      </c>
      <c r="X51" s="1">
        <f t="shared" si="10"/>
        <v>0</v>
      </c>
      <c r="Y51" s="1">
        <f t="shared" si="10"/>
        <v>0</v>
      </c>
      <c r="Z51" s="1">
        <f t="shared" si="10"/>
        <v>0</v>
      </c>
      <c r="AA51" s="1">
        <f t="shared" si="10"/>
        <v>0</v>
      </c>
      <c r="AD51" s="1">
        <f t="shared" ref="AD51:AS64" si="11">IFERROR(VLOOKUP($D51,$AC$10:$AU$29,AD$71,FALSE),0)</f>
        <v>0</v>
      </c>
      <c r="AE51" s="1">
        <f t="shared" si="11"/>
        <v>0</v>
      </c>
      <c r="AF51" s="1">
        <f t="shared" si="11"/>
        <v>0</v>
      </c>
      <c r="AG51" s="1">
        <f t="shared" si="11"/>
        <v>0</v>
      </c>
      <c r="AH51" s="1">
        <f t="shared" si="11"/>
        <v>0</v>
      </c>
      <c r="AI51" s="1">
        <f t="shared" si="11"/>
        <v>0</v>
      </c>
      <c r="AJ51" s="1">
        <f t="shared" si="11"/>
        <v>0</v>
      </c>
      <c r="AK51" s="1">
        <f t="shared" si="11"/>
        <v>0</v>
      </c>
      <c r="AL51" s="1">
        <f t="shared" si="11"/>
        <v>0</v>
      </c>
      <c r="AM51" s="1">
        <f t="shared" si="11"/>
        <v>0</v>
      </c>
      <c r="AN51" s="1">
        <f t="shared" si="11"/>
        <v>0</v>
      </c>
      <c r="AO51" s="1">
        <f t="shared" si="11"/>
        <v>0</v>
      </c>
      <c r="AP51" s="1">
        <f t="shared" si="11"/>
        <v>0</v>
      </c>
      <c r="AQ51" s="1">
        <f t="shared" si="11"/>
        <v>0</v>
      </c>
      <c r="AR51" s="1">
        <f t="shared" si="11"/>
        <v>0</v>
      </c>
      <c r="AS51" s="1">
        <f t="shared" si="11"/>
        <v>0</v>
      </c>
      <c r="AT51" s="1">
        <f t="shared" ref="AT51:AU64" si="12">IFERROR(VLOOKUP($D51,$AC$10:$AU$29,AT$71,FALSE),0)</f>
        <v>0</v>
      </c>
      <c r="AU51" s="1">
        <f t="shared" si="12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9"/>
        <v>0</v>
      </c>
      <c r="F52" s="1">
        <f t="shared" si="9"/>
        <v>0</v>
      </c>
      <c r="G52" s="1">
        <f t="shared" si="9"/>
        <v>0</v>
      </c>
      <c r="H52" s="1">
        <f t="shared" si="9"/>
        <v>0</v>
      </c>
      <c r="I52" s="1">
        <f t="shared" si="9"/>
        <v>0</v>
      </c>
      <c r="J52" s="1">
        <f t="shared" si="9"/>
        <v>0</v>
      </c>
      <c r="K52" s="1">
        <f t="shared" si="9"/>
        <v>0</v>
      </c>
      <c r="L52" s="1">
        <f t="shared" si="9"/>
        <v>0</v>
      </c>
      <c r="M52" s="1">
        <f t="shared" si="9"/>
        <v>0</v>
      </c>
      <c r="N52" s="1">
        <f t="shared" si="9"/>
        <v>0</v>
      </c>
      <c r="O52" s="1">
        <f t="shared" si="9"/>
        <v>0</v>
      </c>
      <c r="P52" s="1">
        <f t="shared" si="9"/>
        <v>0</v>
      </c>
      <c r="Q52" s="1">
        <f t="shared" si="9"/>
        <v>0</v>
      </c>
      <c r="R52" s="1">
        <f t="shared" si="9"/>
        <v>0</v>
      </c>
      <c r="S52" s="1">
        <f t="shared" si="9"/>
        <v>0</v>
      </c>
      <c r="T52" s="1">
        <f t="shared" si="9"/>
        <v>0</v>
      </c>
      <c r="U52" s="1">
        <f t="shared" si="10"/>
        <v>0</v>
      </c>
      <c r="V52" s="1">
        <f t="shared" si="10"/>
        <v>0</v>
      </c>
      <c r="W52" s="1">
        <f t="shared" si="10"/>
        <v>0</v>
      </c>
      <c r="X52" s="1">
        <f t="shared" si="10"/>
        <v>0</v>
      </c>
      <c r="Y52" s="1">
        <f t="shared" si="10"/>
        <v>0</v>
      </c>
      <c r="Z52" s="1">
        <f t="shared" si="10"/>
        <v>0</v>
      </c>
      <c r="AA52" s="1">
        <f t="shared" si="10"/>
        <v>0</v>
      </c>
      <c r="AD52" s="1">
        <f t="shared" si="11"/>
        <v>0</v>
      </c>
      <c r="AE52" s="1">
        <f t="shared" si="11"/>
        <v>0</v>
      </c>
      <c r="AF52" s="1">
        <f t="shared" si="11"/>
        <v>0</v>
      </c>
      <c r="AG52" s="1">
        <f t="shared" si="11"/>
        <v>0</v>
      </c>
      <c r="AH52" s="1">
        <f t="shared" si="11"/>
        <v>0</v>
      </c>
      <c r="AI52" s="1">
        <f t="shared" si="11"/>
        <v>0</v>
      </c>
      <c r="AJ52" s="1">
        <f t="shared" si="11"/>
        <v>0</v>
      </c>
      <c r="AK52" s="1">
        <f t="shared" si="11"/>
        <v>0</v>
      </c>
      <c r="AL52" s="1">
        <f t="shared" si="11"/>
        <v>0</v>
      </c>
      <c r="AM52" s="1">
        <f t="shared" si="11"/>
        <v>0</v>
      </c>
      <c r="AN52" s="1">
        <f t="shared" si="11"/>
        <v>0</v>
      </c>
      <c r="AO52" s="1">
        <f t="shared" si="11"/>
        <v>0</v>
      </c>
      <c r="AP52" s="1">
        <f t="shared" si="11"/>
        <v>0</v>
      </c>
      <c r="AQ52" s="1">
        <f t="shared" si="11"/>
        <v>0</v>
      </c>
      <c r="AR52" s="1">
        <f t="shared" si="11"/>
        <v>0</v>
      </c>
      <c r="AS52" s="1">
        <f t="shared" si="11"/>
        <v>0</v>
      </c>
      <c r="AT52" s="1">
        <f t="shared" si="12"/>
        <v>0</v>
      </c>
      <c r="AU52" s="1">
        <f t="shared" si="12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9"/>
        <v>0</v>
      </c>
      <c r="F53" s="1">
        <f t="shared" si="9"/>
        <v>0</v>
      </c>
      <c r="G53" s="1">
        <f t="shared" si="9"/>
        <v>0</v>
      </c>
      <c r="H53" s="1">
        <f t="shared" si="9"/>
        <v>0</v>
      </c>
      <c r="I53" s="1">
        <f t="shared" si="9"/>
        <v>0</v>
      </c>
      <c r="J53" s="1">
        <f t="shared" si="9"/>
        <v>0</v>
      </c>
      <c r="K53" s="1">
        <f t="shared" si="9"/>
        <v>0</v>
      </c>
      <c r="L53" s="1">
        <f t="shared" si="9"/>
        <v>0</v>
      </c>
      <c r="M53" s="1">
        <f t="shared" si="9"/>
        <v>0</v>
      </c>
      <c r="N53" s="1">
        <f t="shared" si="9"/>
        <v>0</v>
      </c>
      <c r="O53" s="1">
        <f t="shared" si="9"/>
        <v>0</v>
      </c>
      <c r="P53" s="1">
        <f t="shared" si="9"/>
        <v>0</v>
      </c>
      <c r="Q53" s="1">
        <f t="shared" si="9"/>
        <v>0</v>
      </c>
      <c r="R53" s="1">
        <f t="shared" si="9"/>
        <v>0</v>
      </c>
      <c r="S53" s="1">
        <f t="shared" si="9"/>
        <v>0</v>
      </c>
      <c r="T53" s="1">
        <f t="shared" si="9"/>
        <v>0</v>
      </c>
      <c r="U53" s="1">
        <f t="shared" si="10"/>
        <v>0</v>
      </c>
      <c r="V53" s="1">
        <f t="shared" si="10"/>
        <v>0</v>
      </c>
      <c r="W53" s="1">
        <f t="shared" si="10"/>
        <v>0</v>
      </c>
      <c r="X53" s="1">
        <f t="shared" si="10"/>
        <v>0</v>
      </c>
      <c r="Y53" s="1">
        <f t="shared" si="10"/>
        <v>0</v>
      </c>
      <c r="Z53" s="1">
        <f t="shared" si="10"/>
        <v>0</v>
      </c>
      <c r="AA53" s="1">
        <f t="shared" si="10"/>
        <v>0</v>
      </c>
      <c r="AD53" s="1">
        <f t="shared" si="11"/>
        <v>0</v>
      </c>
      <c r="AE53" s="1">
        <f t="shared" si="11"/>
        <v>0</v>
      </c>
      <c r="AF53" s="1">
        <f t="shared" si="11"/>
        <v>0</v>
      </c>
      <c r="AG53" s="1">
        <f t="shared" si="11"/>
        <v>0</v>
      </c>
      <c r="AH53" s="1">
        <f t="shared" si="11"/>
        <v>0</v>
      </c>
      <c r="AI53" s="1">
        <f t="shared" si="11"/>
        <v>0</v>
      </c>
      <c r="AJ53" s="1">
        <f t="shared" si="11"/>
        <v>0</v>
      </c>
      <c r="AK53" s="1">
        <f t="shared" si="11"/>
        <v>0</v>
      </c>
      <c r="AL53" s="1">
        <f t="shared" si="11"/>
        <v>0</v>
      </c>
      <c r="AM53" s="1">
        <f t="shared" si="11"/>
        <v>0</v>
      </c>
      <c r="AN53" s="1">
        <f t="shared" si="11"/>
        <v>0</v>
      </c>
      <c r="AO53" s="1">
        <f t="shared" si="11"/>
        <v>0</v>
      </c>
      <c r="AP53" s="1">
        <f t="shared" si="11"/>
        <v>0</v>
      </c>
      <c r="AQ53" s="1">
        <f t="shared" si="11"/>
        <v>0</v>
      </c>
      <c r="AR53" s="1">
        <f t="shared" si="11"/>
        <v>0</v>
      </c>
      <c r="AS53" s="1">
        <f t="shared" si="11"/>
        <v>0</v>
      </c>
      <c r="AT53" s="1">
        <f t="shared" si="12"/>
        <v>0</v>
      </c>
      <c r="AU53" s="1">
        <f t="shared" si="12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9"/>
        <v>0</v>
      </c>
      <c r="F54" s="1">
        <f t="shared" si="9"/>
        <v>0</v>
      </c>
      <c r="G54" s="1">
        <f t="shared" si="9"/>
        <v>0</v>
      </c>
      <c r="H54" s="1">
        <f t="shared" si="9"/>
        <v>0</v>
      </c>
      <c r="I54" s="1">
        <f t="shared" si="9"/>
        <v>0</v>
      </c>
      <c r="J54" s="1">
        <f t="shared" si="9"/>
        <v>0</v>
      </c>
      <c r="K54" s="1">
        <f t="shared" si="9"/>
        <v>0</v>
      </c>
      <c r="L54" s="1">
        <f t="shared" si="9"/>
        <v>0</v>
      </c>
      <c r="M54" s="1">
        <f t="shared" si="9"/>
        <v>0</v>
      </c>
      <c r="N54" s="1">
        <f t="shared" si="9"/>
        <v>0</v>
      </c>
      <c r="O54" s="1">
        <f t="shared" si="9"/>
        <v>0</v>
      </c>
      <c r="P54" s="1">
        <f t="shared" si="9"/>
        <v>0</v>
      </c>
      <c r="Q54" s="1">
        <f t="shared" si="9"/>
        <v>0</v>
      </c>
      <c r="R54" s="1">
        <f t="shared" si="9"/>
        <v>0</v>
      </c>
      <c r="S54" s="1">
        <f t="shared" si="9"/>
        <v>0</v>
      </c>
      <c r="T54" s="1">
        <f t="shared" si="9"/>
        <v>0</v>
      </c>
      <c r="U54" s="1">
        <f t="shared" si="10"/>
        <v>0</v>
      </c>
      <c r="V54" s="1">
        <f t="shared" si="10"/>
        <v>0</v>
      </c>
      <c r="W54" s="1">
        <f t="shared" si="10"/>
        <v>0</v>
      </c>
      <c r="X54" s="1">
        <f t="shared" si="10"/>
        <v>0</v>
      </c>
      <c r="Y54" s="1">
        <f t="shared" si="10"/>
        <v>0</v>
      </c>
      <c r="Z54" s="1">
        <f t="shared" si="10"/>
        <v>0</v>
      </c>
      <c r="AA54" s="1">
        <f t="shared" si="10"/>
        <v>0</v>
      </c>
      <c r="AD54" s="1">
        <f t="shared" si="11"/>
        <v>0</v>
      </c>
      <c r="AE54" s="1">
        <f t="shared" si="11"/>
        <v>0</v>
      </c>
      <c r="AF54" s="1">
        <f t="shared" si="11"/>
        <v>0</v>
      </c>
      <c r="AG54" s="1">
        <f t="shared" si="11"/>
        <v>0</v>
      </c>
      <c r="AH54" s="1">
        <f t="shared" si="11"/>
        <v>0</v>
      </c>
      <c r="AI54" s="1">
        <f t="shared" si="11"/>
        <v>0</v>
      </c>
      <c r="AJ54" s="1">
        <f t="shared" si="11"/>
        <v>0</v>
      </c>
      <c r="AK54" s="1">
        <f t="shared" si="11"/>
        <v>0</v>
      </c>
      <c r="AL54" s="1">
        <f t="shared" si="11"/>
        <v>0</v>
      </c>
      <c r="AM54" s="1">
        <f t="shared" si="11"/>
        <v>0</v>
      </c>
      <c r="AN54" s="1">
        <f t="shared" si="11"/>
        <v>0</v>
      </c>
      <c r="AO54" s="1">
        <f t="shared" si="11"/>
        <v>0</v>
      </c>
      <c r="AP54" s="1">
        <f t="shared" si="11"/>
        <v>0</v>
      </c>
      <c r="AQ54" s="1">
        <f t="shared" si="11"/>
        <v>0</v>
      </c>
      <c r="AR54" s="1">
        <f t="shared" si="11"/>
        <v>0</v>
      </c>
      <c r="AS54" s="1">
        <f t="shared" si="11"/>
        <v>0</v>
      </c>
      <c r="AT54" s="1">
        <f t="shared" si="12"/>
        <v>0</v>
      </c>
      <c r="AU54" s="1">
        <f t="shared" si="12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9"/>
        <v>0</v>
      </c>
      <c r="F55" s="1">
        <f t="shared" si="9"/>
        <v>0</v>
      </c>
      <c r="G55" s="1">
        <f t="shared" si="9"/>
        <v>0</v>
      </c>
      <c r="H55" s="1">
        <f t="shared" si="9"/>
        <v>0</v>
      </c>
      <c r="I55" s="1">
        <f t="shared" si="9"/>
        <v>0</v>
      </c>
      <c r="J55" s="1">
        <f t="shared" si="9"/>
        <v>0</v>
      </c>
      <c r="K55" s="1">
        <f t="shared" si="9"/>
        <v>0</v>
      </c>
      <c r="L55" s="1">
        <f t="shared" si="9"/>
        <v>0</v>
      </c>
      <c r="M55" s="1">
        <f t="shared" si="9"/>
        <v>0</v>
      </c>
      <c r="N55" s="1">
        <f t="shared" si="9"/>
        <v>0</v>
      </c>
      <c r="O55" s="1">
        <f t="shared" si="9"/>
        <v>0</v>
      </c>
      <c r="P55" s="1">
        <f t="shared" si="9"/>
        <v>0</v>
      </c>
      <c r="Q55" s="1">
        <f t="shared" si="9"/>
        <v>0</v>
      </c>
      <c r="R55" s="1">
        <f t="shared" si="9"/>
        <v>0</v>
      </c>
      <c r="S55" s="1">
        <f t="shared" si="9"/>
        <v>0</v>
      </c>
      <c r="T55" s="1">
        <f t="shared" si="9"/>
        <v>0</v>
      </c>
      <c r="U55" s="1">
        <f t="shared" si="10"/>
        <v>0</v>
      </c>
      <c r="V55" s="1">
        <f t="shared" si="10"/>
        <v>0</v>
      </c>
      <c r="W55" s="1">
        <f t="shared" si="10"/>
        <v>0</v>
      </c>
      <c r="X55" s="1">
        <f t="shared" si="10"/>
        <v>0</v>
      </c>
      <c r="Y55" s="1">
        <f t="shared" si="10"/>
        <v>0</v>
      </c>
      <c r="Z55" s="1">
        <f t="shared" si="10"/>
        <v>0</v>
      </c>
      <c r="AA55" s="1">
        <f t="shared" si="10"/>
        <v>0</v>
      </c>
      <c r="AD55" s="1">
        <f t="shared" si="11"/>
        <v>0</v>
      </c>
      <c r="AE55" s="1">
        <f t="shared" si="11"/>
        <v>0</v>
      </c>
      <c r="AF55" s="1">
        <f t="shared" si="11"/>
        <v>0</v>
      </c>
      <c r="AG55" s="1">
        <f t="shared" si="11"/>
        <v>0</v>
      </c>
      <c r="AH55" s="1">
        <f t="shared" si="11"/>
        <v>0</v>
      </c>
      <c r="AI55" s="1">
        <f t="shared" si="11"/>
        <v>0</v>
      </c>
      <c r="AJ55" s="1">
        <f t="shared" si="11"/>
        <v>0</v>
      </c>
      <c r="AK55" s="1">
        <f t="shared" si="11"/>
        <v>0</v>
      </c>
      <c r="AL55" s="1">
        <f t="shared" si="11"/>
        <v>0</v>
      </c>
      <c r="AM55" s="1">
        <f t="shared" si="11"/>
        <v>0</v>
      </c>
      <c r="AN55" s="1">
        <f t="shared" si="11"/>
        <v>0</v>
      </c>
      <c r="AO55" s="1">
        <f t="shared" si="11"/>
        <v>0</v>
      </c>
      <c r="AP55" s="1">
        <f t="shared" si="11"/>
        <v>0</v>
      </c>
      <c r="AQ55" s="1">
        <f t="shared" si="11"/>
        <v>0</v>
      </c>
      <c r="AR55" s="1">
        <f t="shared" si="11"/>
        <v>0</v>
      </c>
      <c r="AS55" s="1">
        <f t="shared" si="11"/>
        <v>0</v>
      </c>
      <c r="AT55" s="1">
        <f t="shared" si="12"/>
        <v>0</v>
      </c>
      <c r="AU55" s="1">
        <f t="shared" si="12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9"/>
        <v>0</v>
      </c>
      <c r="F56" s="1">
        <f t="shared" si="9"/>
        <v>0</v>
      </c>
      <c r="G56" s="1">
        <f t="shared" si="9"/>
        <v>0</v>
      </c>
      <c r="H56" s="1">
        <f t="shared" si="9"/>
        <v>0</v>
      </c>
      <c r="I56" s="1">
        <f t="shared" si="9"/>
        <v>0</v>
      </c>
      <c r="J56" s="1">
        <f t="shared" si="9"/>
        <v>0</v>
      </c>
      <c r="K56" s="1">
        <f t="shared" si="9"/>
        <v>0</v>
      </c>
      <c r="L56" s="1">
        <f t="shared" si="9"/>
        <v>0</v>
      </c>
      <c r="M56" s="1">
        <f t="shared" si="9"/>
        <v>0</v>
      </c>
      <c r="N56" s="1">
        <f t="shared" si="9"/>
        <v>0</v>
      </c>
      <c r="O56" s="1">
        <f t="shared" si="9"/>
        <v>0</v>
      </c>
      <c r="P56" s="1">
        <f t="shared" si="9"/>
        <v>0</v>
      </c>
      <c r="Q56" s="1">
        <f t="shared" si="9"/>
        <v>0</v>
      </c>
      <c r="R56" s="1">
        <f t="shared" si="9"/>
        <v>0</v>
      </c>
      <c r="S56" s="1">
        <f t="shared" si="9"/>
        <v>0</v>
      </c>
      <c r="T56" s="1">
        <f t="shared" si="9"/>
        <v>0</v>
      </c>
      <c r="U56" s="1">
        <f t="shared" si="10"/>
        <v>0</v>
      </c>
      <c r="V56" s="1">
        <f t="shared" si="10"/>
        <v>0</v>
      </c>
      <c r="W56" s="1">
        <f t="shared" si="10"/>
        <v>0</v>
      </c>
      <c r="X56" s="1">
        <f t="shared" si="10"/>
        <v>0</v>
      </c>
      <c r="Y56" s="1">
        <f t="shared" si="10"/>
        <v>0</v>
      </c>
      <c r="Z56" s="1">
        <f t="shared" si="10"/>
        <v>0</v>
      </c>
      <c r="AA56" s="1">
        <f t="shared" si="10"/>
        <v>0</v>
      </c>
      <c r="AD56" s="1">
        <f t="shared" si="11"/>
        <v>0</v>
      </c>
      <c r="AE56" s="1">
        <f t="shared" si="11"/>
        <v>0</v>
      </c>
      <c r="AF56" s="1">
        <f t="shared" si="11"/>
        <v>0</v>
      </c>
      <c r="AG56" s="1">
        <f t="shared" si="11"/>
        <v>0</v>
      </c>
      <c r="AH56" s="1">
        <f t="shared" si="11"/>
        <v>0</v>
      </c>
      <c r="AI56" s="1">
        <f t="shared" si="11"/>
        <v>0</v>
      </c>
      <c r="AJ56" s="1">
        <f t="shared" si="11"/>
        <v>0</v>
      </c>
      <c r="AK56" s="1">
        <f t="shared" si="11"/>
        <v>0</v>
      </c>
      <c r="AL56" s="1">
        <f t="shared" si="11"/>
        <v>0</v>
      </c>
      <c r="AM56" s="1">
        <f t="shared" si="11"/>
        <v>0</v>
      </c>
      <c r="AN56" s="1">
        <f t="shared" si="11"/>
        <v>0</v>
      </c>
      <c r="AO56" s="1">
        <f t="shared" si="11"/>
        <v>0</v>
      </c>
      <c r="AP56" s="1">
        <f t="shared" si="11"/>
        <v>0</v>
      </c>
      <c r="AQ56" s="1">
        <f t="shared" si="11"/>
        <v>0</v>
      </c>
      <c r="AR56" s="1">
        <f t="shared" si="11"/>
        <v>0</v>
      </c>
      <c r="AS56" s="1">
        <f t="shared" si="11"/>
        <v>0</v>
      </c>
      <c r="AT56" s="1">
        <f t="shared" si="12"/>
        <v>0</v>
      </c>
      <c r="AU56" s="1">
        <f t="shared" si="12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si="9"/>
        <v>0</v>
      </c>
      <c r="F57" s="1">
        <f t="shared" si="9"/>
        <v>0</v>
      </c>
      <c r="G57" s="1">
        <f t="shared" si="9"/>
        <v>0</v>
      </c>
      <c r="H57" s="1">
        <f t="shared" si="9"/>
        <v>0</v>
      </c>
      <c r="I57" s="1">
        <f t="shared" si="9"/>
        <v>0</v>
      </c>
      <c r="J57" s="1">
        <f t="shared" si="9"/>
        <v>0</v>
      </c>
      <c r="K57" s="1">
        <f t="shared" si="9"/>
        <v>0</v>
      </c>
      <c r="L57" s="1">
        <f t="shared" si="9"/>
        <v>0</v>
      </c>
      <c r="M57" s="1">
        <f t="shared" si="9"/>
        <v>0</v>
      </c>
      <c r="N57" s="1">
        <f t="shared" si="9"/>
        <v>0</v>
      </c>
      <c r="O57" s="1">
        <f t="shared" si="9"/>
        <v>0</v>
      </c>
      <c r="P57" s="1">
        <f t="shared" si="9"/>
        <v>0</v>
      </c>
      <c r="Q57" s="1">
        <f t="shared" si="9"/>
        <v>0</v>
      </c>
      <c r="R57" s="1">
        <f t="shared" si="9"/>
        <v>0</v>
      </c>
      <c r="S57" s="1">
        <f t="shared" si="9"/>
        <v>0</v>
      </c>
      <c r="T57" s="1">
        <f t="shared" si="9"/>
        <v>0</v>
      </c>
      <c r="U57" s="1">
        <f t="shared" si="10"/>
        <v>0</v>
      </c>
      <c r="V57" s="1">
        <f t="shared" si="10"/>
        <v>0</v>
      </c>
      <c r="W57" s="1">
        <f t="shared" si="10"/>
        <v>0</v>
      </c>
      <c r="X57" s="1">
        <f t="shared" si="10"/>
        <v>0</v>
      </c>
      <c r="Y57" s="1">
        <f t="shared" si="10"/>
        <v>0</v>
      </c>
      <c r="Z57" s="1">
        <f t="shared" si="10"/>
        <v>0</v>
      </c>
      <c r="AA57" s="1">
        <f t="shared" si="10"/>
        <v>0</v>
      </c>
      <c r="AD57" s="1">
        <f t="shared" si="11"/>
        <v>0</v>
      </c>
      <c r="AE57" s="1">
        <f t="shared" si="11"/>
        <v>0</v>
      </c>
      <c r="AF57" s="1">
        <f t="shared" si="11"/>
        <v>0</v>
      </c>
      <c r="AG57" s="1">
        <f t="shared" si="11"/>
        <v>0</v>
      </c>
      <c r="AH57" s="1">
        <f t="shared" si="11"/>
        <v>0</v>
      </c>
      <c r="AI57" s="1">
        <f t="shared" si="11"/>
        <v>0</v>
      </c>
      <c r="AJ57" s="1">
        <f t="shared" si="11"/>
        <v>0</v>
      </c>
      <c r="AK57" s="1">
        <f t="shared" si="11"/>
        <v>0</v>
      </c>
      <c r="AL57" s="1">
        <f t="shared" si="11"/>
        <v>0</v>
      </c>
      <c r="AM57" s="1">
        <f t="shared" si="11"/>
        <v>0</v>
      </c>
      <c r="AN57" s="1">
        <f t="shared" si="11"/>
        <v>0</v>
      </c>
      <c r="AO57" s="1">
        <f t="shared" si="11"/>
        <v>0</v>
      </c>
      <c r="AP57" s="1">
        <f t="shared" si="11"/>
        <v>0</v>
      </c>
      <c r="AQ57" s="1">
        <f t="shared" si="11"/>
        <v>0</v>
      </c>
      <c r="AR57" s="1">
        <f t="shared" si="11"/>
        <v>0</v>
      </c>
      <c r="AS57" s="1">
        <f t="shared" si="11"/>
        <v>0</v>
      </c>
      <c r="AT57" s="1">
        <f t="shared" si="12"/>
        <v>0</v>
      </c>
      <c r="AU57" s="1">
        <f t="shared" si="12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9"/>
        <v>0</v>
      </c>
      <c r="F58" s="1">
        <f t="shared" si="9"/>
        <v>0</v>
      </c>
      <c r="G58" s="1">
        <f t="shared" si="9"/>
        <v>0</v>
      </c>
      <c r="H58" s="1">
        <f t="shared" si="9"/>
        <v>0</v>
      </c>
      <c r="I58" s="1">
        <f t="shared" si="9"/>
        <v>0</v>
      </c>
      <c r="J58" s="1">
        <f t="shared" si="9"/>
        <v>0</v>
      </c>
      <c r="K58" s="1">
        <f t="shared" si="9"/>
        <v>0</v>
      </c>
      <c r="L58" s="1">
        <f t="shared" si="9"/>
        <v>0</v>
      </c>
      <c r="M58" s="1">
        <f t="shared" si="9"/>
        <v>0</v>
      </c>
      <c r="N58" s="1">
        <f t="shared" si="9"/>
        <v>0</v>
      </c>
      <c r="O58" s="1">
        <f t="shared" si="9"/>
        <v>0</v>
      </c>
      <c r="P58" s="1">
        <f t="shared" si="9"/>
        <v>0</v>
      </c>
      <c r="Q58" s="1">
        <f t="shared" si="9"/>
        <v>0</v>
      </c>
      <c r="R58" s="1">
        <f t="shared" si="9"/>
        <v>0</v>
      </c>
      <c r="S58" s="1">
        <f t="shared" si="9"/>
        <v>0</v>
      </c>
      <c r="T58" s="1">
        <f t="shared" si="9"/>
        <v>0</v>
      </c>
      <c r="U58" s="1">
        <f t="shared" si="10"/>
        <v>0</v>
      </c>
      <c r="V58" s="1">
        <f t="shared" si="10"/>
        <v>0</v>
      </c>
      <c r="W58" s="1">
        <f t="shared" si="10"/>
        <v>0</v>
      </c>
      <c r="X58" s="1">
        <f t="shared" si="10"/>
        <v>0</v>
      </c>
      <c r="Y58" s="1">
        <f t="shared" si="10"/>
        <v>0</v>
      </c>
      <c r="Z58" s="1">
        <f t="shared" si="10"/>
        <v>0</v>
      </c>
      <c r="AA58" s="1">
        <f t="shared" si="10"/>
        <v>0</v>
      </c>
      <c r="AD58" s="1">
        <f t="shared" si="11"/>
        <v>0</v>
      </c>
      <c r="AE58" s="1">
        <f t="shared" si="11"/>
        <v>0</v>
      </c>
      <c r="AF58" s="1">
        <f t="shared" si="11"/>
        <v>0</v>
      </c>
      <c r="AG58" s="1">
        <f t="shared" si="11"/>
        <v>0</v>
      </c>
      <c r="AH58" s="1">
        <f t="shared" si="11"/>
        <v>0</v>
      </c>
      <c r="AI58" s="1">
        <f t="shared" si="11"/>
        <v>0</v>
      </c>
      <c r="AJ58" s="1">
        <f t="shared" si="11"/>
        <v>0</v>
      </c>
      <c r="AK58" s="1">
        <f t="shared" si="11"/>
        <v>0</v>
      </c>
      <c r="AL58" s="1">
        <f t="shared" si="11"/>
        <v>0</v>
      </c>
      <c r="AM58" s="1">
        <f t="shared" si="11"/>
        <v>0</v>
      </c>
      <c r="AN58" s="1">
        <f t="shared" si="11"/>
        <v>0</v>
      </c>
      <c r="AO58" s="1">
        <f t="shared" si="11"/>
        <v>0</v>
      </c>
      <c r="AP58" s="1">
        <f t="shared" si="11"/>
        <v>0</v>
      </c>
      <c r="AQ58" s="1">
        <f t="shared" si="11"/>
        <v>0</v>
      </c>
      <c r="AR58" s="1">
        <f t="shared" si="11"/>
        <v>0</v>
      </c>
      <c r="AS58" s="1">
        <f t="shared" si="11"/>
        <v>0</v>
      </c>
      <c r="AT58" s="1">
        <f t="shared" si="12"/>
        <v>0</v>
      </c>
      <c r="AU58" s="1">
        <f t="shared" si="12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9"/>
        <v>0</v>
      </c>
      <c r="F59" s="1">
        <f t="shared" si="9"/>
        <v>0</v>
      </c>
      <c r="G59" s="1">
        <f t="shared" si="9"/>
        <v>0</v>
      </c>
      <c r="H59" s="1">
        <f t="shared" si="9"/>
        <v>0</v>
      </c>
      <c r="I59" s="1">
        <f t="shared" si="9"/>
        <v>0</v>
      </c>
      <c r="J59" s="1">
        <f t="shared" si="9"/>
        <v>0</v>
      </c>
      <c r="K59" s="1">
        <f t="shared" si="9"/>
        <v>0</v>
      </c>
      <c r="L59" s="1">
        <f t="shared" si="9"/>
        <v>0</v>
      </c>
      <c r="M59" s="1">
        <f t="shared" si="9"/>
        <v>0</v>
      </c>
      <c r="N59" s="1">
        <f t="shared" si="9"/>
        <v>0</v>
      </c>
      <c r="O59" s="1">
        <f t="shared" si="9"/>
        <v>0</v>
      </c>
      <c r="P59" s="1">
        <f t="shared" si="9"/>
        <v>0</v>
      </c>
      <c r="Q59" s="1">
        <f t="shared" si="9"/>
        <v>0</v>
      </c>
      <c r="R59" s="1">
        <f t="shared" si="9"/>
        <v>0</v>
      </c>
      <c r="S59" s="1">
        <f t="shared" si="9"/>
        <v>0</v>
      </c>
      <c r="T59" s="1">
        <f t="shared" si="9"/>
        <v>0</v>
      </c>
      <c r="U59" s="1">
        <f t="shared" si="10"/>
        <v>0</v>
      </c>
      <c r="V59" s="1">
        <f t="shared" si="10"/>
        <v>0</v>
      </c>
      <c r="W59" s="1">
        <f t="shared" si="10"/>
        <v>0</v>
      </c>
      <c r="X59" s="1">
        <f t="shared" si="10"/>
        <v>0</v>
      </c>
      <c r="Y59" s="1">
        <f t="shared" si="10"/>
        <v>0</v>
      </c>
      <c r="Z59" s="1">
        <f t="shared" si="10"/>
        <v>0</v>
      </c>
      <c r="AA59" s="1">
        <f t="shared" si="10"/>
        <v>0</v>
      </c>
      <c r="AD59" s="1">
        <f t="shared" si="11"/>
        <v>0</v>
      </c>
      <c r="AE59" s="1">
        <f t="shared" si="11"/>
        <v>0</v>
      </c>
      <c r="AF59" s="1">
        <f t="shared" si="11"/>
        <v>0</v>
      </c>
      <c r="AG59" s="1">
        <f t="shared" si="11"/>
        <v>0</v>
      </c>
      <c r="AH59" s="1">
        <f t="shared" si="11"/>
        <v>0</v>
      </c>
      <c r="AI59" s="1">
        <f t="shared" si="11"/>
        <v>0</v>
      </c>
      <c r="AJ59" s="1">
        <f t="shared" si="11"/>
        <v>0</v>
      </c>
      <c r="AK59" s="1">
        <f t="shared" si="11"/>
        <v>0</v>
      </c>
      <c r="AL59" s="1">
        <f t="shared" si="11"/>
        <v>0</v>
      </c>
      <c r="AM59" s="1">
        <f t="shared" si="11"/>
        <v>0</v>
      </c>
      <c r="AN59" s="1">
        <f t="shared" si="11"/>
        <v>0</v>
      </c>
      <c r="AO59" s="1">
        <f t="shared" si="11"/>
        <v>0</v>
      </c>
      <c r="AP59" s="1">
        <f t="shared" si="11"/>
        <v>0</v>
      </c>
      <c r="AQ59" s="1">
        <f t="shared" si="11"/>
        <v>0</v>
      </c>
      <c r="AR59" s="1">
        <f t="shared" si="11"/>
        <v>0</v>
      </c>
      <c r="AS59" s="1">
        <f t="shared" si="11"/>
        <v>0</v>
      </c>
      <c r="AT59" s="1">
        <f t="shared" si="12"/>
        <v>0</v>
      </c>
      <c r="AU59" s="1">
        <f t="shared" si="12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9"/>
        <v>0</v>
      </c>
      <c r="F60" s="1">
        <f t="shared" si="9"/>
        <v>0</v>
      </c>
      <c r="G60" s="1">
        <f t="shared" si="9"/>
        <v>0</v>
      </c>
      <c r="H60" s="1">
        <f t="shared" si="9"/>
        <v>0</v>
      </c>
      <c r="I60" s="1">
        <f t="shared" si="9"/>
        <v>0</v>
      </c>
      <c r="J60" s="1">
        <f t="shared" si="9"/>
        <v>0</v>
      </c>
      <c r="K60" s="1">
        <f t="shared" si="9"/>
        <v>0</v>
      </c>
      <c r="L60" s="1">
        <f t="shared" si="9"/>
        <v>0</v>
      </c>
      <c r="M60" s="1">
        <f t="shared" si="9"/>
        <v>0</v>
      </c>
      <c r="N60" s="1">
        <f t="shared" si="9"/>
        <v>0</v>
      </c>
      <c r="O60" s="1">
        <f t="shared" si="9"/>
        <v>0</v>
      </c>
      <c r="P60" s="1">
        <f t="shared" si="9"/>
        <v>0</v>
      </c>
      <c r="Q60" s="1">
        <f t="shared" si="9"/>
        <v>0</v>
      </c>
      <c r="R60" s="1">
        <f t="shared" si="9"/>
        <v>0</v>
      </c>
      <c r="S60" s="1">
        <f t="shared" si="9"/>
        <v>0</v>
      </c>
      <c r="T60" s="1">
        <f t="shared" si="9"/>
        <v>0</v>
      </c>
      <c r="U60" s="1">
        <f t="shared" si="10"/>
        <v>0</v>
      </c>
      <c r="V60" s="1">
        <f t="shared" si="10"/>
        <v>0</v>
      </c>
      <c r="W60" s="1">
        <f t="shared" si="10"/>
        <v>0</v>
      </c>
      <c r="X60" s="1">
        <f t="shared" si="10"/>
        <v>0</v>
      </c>
      <c r="Y60" s="1">
        <f t="shared" si="10"/>
        <v>0</v>
      </c>
      <c r="Z60" s="1">
        <f t="shared" si="10"/>
        <v>0</v>
      </c>
      <c r="AA60" s="1">
        <f t="shared" si="10"/>
        <v>0</v>
      </c>
      <c r="AD60" s="1">
        <f t="shared" si="11"/>
        <v>0</v>
      </c>
      <c r="AE60" s="1">
        <f t="shared" si="11"/>
        <v>0</v>
      </c>
      <c r="AF60" s="1">
        <f t="shared" si="11"/>
        <v>0</v>
      </c>
      <c r="AG60" s="1">
        <f t="shared" si="11"/>
        <v>0</v>
      </c>
      <c r="AH60" s="1">
        <f t="shared" si="11"/>
        <v>0</v>
      </c>
      <c r="AI60" s="1">
        <f t="shared" si="11"/>
        <v>0</v>
      </c>
      <c r="AJ60" s="1">
        <f t="shared" si="11"/>
        <v>0</v>
      </c>
      <c r="AK60" s="1">
        <f t="shared" si="11"/>
        <v>0</v>
      </c>
      <c r="AL60" s="1">
        <f t="shared" si="11"/>
        <v>0</v>
      </c>
      <c r="AM60" s="1">
        <f t="shared" si="11"/>
        <v>0</v>
      </c>
      <c r="AN60" s="1">
        <f t="shared" si="11"/>
        <v>0</v>
      </c>
      <c r="AO60" s="1">
        <f t="shared" si="11"/>
        <v>0</v>
      </c>
      <c r="AP60" s="1">
        <f t="shared" si="11"/>
        <v>0</v>
      </c>
      <c r="AQ60" s="1">
        <f t="shared" si="11"/>
        <v>0</v>
      </c>
      <c r="AR60" s="1">
        <f t="shared" si="11"/>
        <v>0</v>
      </c>
      <c r="AS60" s="1">
        <f t="shared" si="11"/>
        <v>0</v>
      </c>
      <c r="AT60" s="1">
        <f t="shared" si="12"/>
        <v>0</v>
      </c>
      <c r="AU60" s="1">
        <f t="shared" si="12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9"/>
        <v>0</v>
      </c>
      <c r="F61" s="1">
        <f t="shared" si="9"/>
        <v>0</v>
      </c>
      <c r="G61" s="1">
        <f t="shared" si="9"/>
        <v>0</v>
      </c>
      <c r="H61" s="1">
        <f t="shared" si="9"/>
        <v>0</v>
      </c>
      <c r="I61" s="1">
        <f t="shared" si="9"/>
        <v>0</v>
      </c>
      <c r="J61" s="1">
        <f t="shared" si="9"/>
        <v>0</v>
      </c>
      <c r="K61" s="1">
        <f t="shared" si="9"/>
        <v>0</v>
      </c>
      <c r="L61" s="1">
        <f t="shared" si="9"/>
        <v>0</v>
      </c>
      <c r="M61" s="1">
        <f t="shared" si="9"/>
        <v>0</v>
      </c>
      <c r="N61" s="1">
        <f t="shared" si="9"/>
        <v>0</v>
      </c>
      <c r="O61" s="1">
        <f t="shared" si="9"/>
        <v>0</v>
      </c>
      <c r="P61" s="1">
        <f t="shared" si="9"/>
        <v>0</v>
      </c>
      <c r="Q61" s="1">
        <f t="shared" si="9"/>
        <v>0</v>
      </c>
      <c r="R61" s="1">
        <f t="shared" si="9"/>
        <v>0</v>
      </c>
      <c r="S61" s="1">
        <f t="shared" si="9"/>
        <v>0</v>
      </c>
      <c r="T61" s="1">
        <f t="shared" si="9"/>
        <v>0</v>
      </c>
      <c r="U61" s="1">
        <f t="shared" si="10"/>
        <v>0</v>
      </c>
      <c r="V61" s="1">
        <f t="shared" si="10"/>
        <v>0</v>
      </c>
      <c r="W61" s="1">
        <f t="shared" si="10"/>
        <v>0</v>
      </c>
      <c r="X61" s="1">
        <f t="shared" si="10"/>
        <v>0</v>
      </c>
      <c r="Y61" s="1">
        <f t="shared" si="10"/>
        <v>0</v>
      </c>
      <c r="Z61" s="1">
        <f t="shared" si="10"/>
        <v>0</v>
      </c>
      <c r="AA61" s="1">
        <f t="shared" si="10"/>
        <v>0</v>
      </c>
      <c r="AD61" s="1">
        <f t="shared" si="11"/>
        <v>0</v>
      </c>
      <c r="AE61" s="1">
        <f t="shared" si="11"/>
        <v>0</v>
      </c>
      <c r="AF61" s="1">
        <f t="shared" si="11"/>
        <v>0</v>
      </c>
      <c r="AG61" s="1">
        <f t="shared" si="11"/>
        <v>0</v>
      </c>
      <c r="AH61" s="1">
        <f t="shared" si="11"/>
        <v>0</v>
      </c>
      <c r="AI61" s="1">
        <f t="shared" si="11"/>
        <v>0</v>
      </c>
      <c r="AJ61" s="1">
        <f t="shared" si="11"/>
        <v>0</v>
      </c>
      <c r="AK61" s="1">
        <f t="shared" si="11"/>
        <v>0</v>
      </c>
      <c r="AL61" s="1">
        <f t="shared" si="11"/>
        <v>0</v>
      </c>
      <c r="AM61" s="1">
        <f t="shared" si="11"/>
        <v>0</v>
      </c>
      <c r="AN61" s="1">
        <f t="shared" si="11"/>
        <v>0</v>
      </c>
      <c r="AO61" s="1">
        <f t="shared" si="11"/>
        <v>0</v>
      </c>
      <c r="AP61" s="1">
        <f t="shared" si="11"/>
        <v>0</v>
      </c>
      <c r="AQ61" s="1">
        <f t="shared" si="11"/>
        <v>0</v>
      </c>
      <c r="AR61" s="1">
        <f t="shared" si="11"/>
        <v>0</v>
      </c>
      <c r="AS61" s="1">
        <f t="shared" si="11"/>
        <v>0</v>
      </c>
      <c r="AT61" s="1">
        <f t="shared" si="12"/>
        <v>0</v>
      </c>
      <c r="AU61" s="1">
        <f t="shared" si="12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9"/>
        <v>0</v>
      </c>
      <c r="F62" s="1">
        <f t="shared" si="9"/>
        <v>0</v>
      </c>
      <c r="G62" s="1">
        <f t="shared" si="9"/>
        <v>0</v>
      </c>
      <c r="H62" s="1">
        <f t="shared" si="9"/>
        <v>0</v>
      </c>
      <c r="I62" s="1">
        <f t="shared" si="9"/>
        <v>0</v>
      </c>
      <c r="J62" s="1">
        <f t="shared" si="9"/>
        <v>0</v>
      </c>
      <c r="K62" s="1">
        <f t="shared" si="9"/>
        <v>0</v>
      </c>
      <c r="L62" s="1">
        <f t="shared" si="9"/>
        <v>0</v>
      </c>
      <c r="M62" s="1">
        <f t="shared" si="9"/>
        <v>0</v>
      </c>
      <c r="N62" s="1">
        <f t="shared" si="9"/>
        <v>0</v>
      </c>
      <c r="O62" s="1">
        <f t="shared" si="9"/>
        <v>0</v>
      </c>
      <c r="P62" s="1">
        <f t="shared" si="9"/>
        <v>0</v>
      </c>
      <c r="Q62" s="1">
        <f t="shared" si="9"/>
        <v>0</v>
      </c>
      <c r="R62" s="1">
        <f t="shared" si="9"/>
        <v>0</v>
      </c>
      <c r="S62" s="1">
        <f t="shared" si="9"/>
        <v>0</v>
      </c>
      <c r="T62" s="1">
        <f t="shared" si="9"/>
        <v>0</v>
      </c>
      <c r="U62" s="1">
        <f t="shared" si="10"/>
        <v>0</v>
      </c>
      <c r="V62" s="1">
        <f t="shared" si="10"/>
        <v>0</v>
      </c>
      <c r="W62" s="1">
        <f t="shared" si="10"/>
        <v>0</v>
      </c>
      <c r="X62" s="1">
        <f t="shared" si="10"/>
        <v>0</v>
      </c>
      <c r="Y62" s="1">
        <f t="shared" si="10"/>
        <v>0</v>
      </c>
      <c r="Z62" s="1">
        <f t="shared" si="10"/>
        <v>0</v>
      </c>
      <c r="AA62" s="1">
        <f t="shared" si="10"/>
        <v>0</v>
      </c>
      <c r="AD62" s="1">
        <f t="shared" si="11"/>
        <v>0</v>
      </c>
      <c r="AE62" s="1">
        <f t="shared" si="11"/>
        <v>0</v>
      </c>
      <c r="AF62" s="1">
        <f t="shared" si="11"/>
        <v>0</v>
      </c>
      <c r="AG62" s="1">
        <f t="shared" si="11"/>
        <v>0</v>
      </c>
      <c r="AH62" s="1">
        <f t="shared" si="11"/>
        <v>0</v>
      </c>
      <c r="AI62" s="1">
        <f t="shared" si="11"/>
        <v>0</v>
      </c>
      <c r="AJ62" s="1">
        <f t="shared" si="11"/>
        <v>0</v>
      </c>
      <c r="AK62" s="1">
        <f t="shared" si="11"/>
        <v>0</v>
      </c>
      <c r="AL62" s="1">
        <f t="shared" si="11"/>
        <v>0</v>
      </c>
      <c r="AM62" s="1">
        <f t="shared" si="11"/>
        <v>0</v>
      </c>
      <c r="AN62" s="1">
        <f t="shared" si="11"/>
        <v>0</v>
      </c>
      <c r="AO62" s="1">
        <f t="shared" si="11"/>
        <v>0</v>
      </c>
      <c r="AP62" s="1">
        <f t="shared" si="11"/>
        <v>0</v>
      </c>
      <c r="AQ62" s="1">
        <f t="shared" si="11"/>
        <v>0</v>
      </c>
      <c r="AR62" s="1">
        <f t="shared" si="11"/>
        <v>0</v>
      </c>
      <c r="AS62" s="1">
        <f t="shared" si="11"/>
        <v>0</v>
      </c>
      <c r="AT62" s="1">
        <f t="shared" si="12"/>
        <v>0</v>
      </c>
      <c r="AU62" s="1">
        <f t="shared" si="12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9"/>
        <v>0</v>
      </c>
      <c r="F63" s="1">
        <f t="shared" si="9"/>
        <v>0</v>
      </c>
      <c r="G63" s="1">
        <f t="shared" si="9"/>
        <v>0</v>
      </c>
      <c r="H63" s="1">
        <f t="shared" si="9"/>
        <v>0</v>
      </c>
      <c r="I63" s="1">
        <f t="shared" si="9"/>
        <v>0</v>
      </c>
      <c r="J63" s="1">
        <f t="shared" si="9"/>
        <v>0</v>
      </c>
      <c r="K63" s="1">
        <f t="shared" si="9"/>
        <v>0</v>
      </c>
      <c r="L63" s="1">
        <f t="shared" si="9"/>
        <v>0</v>
      </c>
      <c r="M63" s="1">
        <f t="shared" si="9"/>
        <v>0</v>
      </c>
      <c r="N63" s="1">
        <f t="shared" si="9"/>
        <v>0</v>
      </c>
      <c r="O63" s="1">
        <f t="shared" si="9"/>
        <v>0</v>
      </c>
      <c r="P63" s="1">
        <f t="shared" si="9"/>
        <v>0</v>
      </c>
      <c r="Q63" s="1">
        <f t="shared" si="9"/>
        <v>0</v>
      </c>
      <c r="R63" s="1">
        <f t="shared" si="9"/>
        <v>0</v>
      </c>
      <c r="S63" s="1">
        <f t="shared" si="9"/>
        <v>0</v>
      </c>
      <c r="T63" s="1">
        <f t="shared" si="9"/>
        <v>0</v>
      </c>
      <c r="U63" s="1">
        <f t="shared" si="10"/>
        <v>0</v>
      </c>
      <c r="V63" s="1">
        <f t="shared" si="10"/>
        <v>0</v>
      </c>
      <c r="W63" s="1">
        <f t="shared" si="10"/>
        <v>0</v>
      </c>
      <c r="X63" s="1">
        <f t="shared" si="10"/>
        <v>0</v>
      </c>
      <c r="Y63" s="1">
        <f t="shared" si="10"/>
        <v>0</v>
      </c>
      <c r="Z63" s="1">
        <f t="shared" si="10"/>
        <v>0</v>
      </c>
      <c r="AA63" s="1">
        <f t="shared" si="10"/>
        <v>0</v>
      </c>
      <c r="AD63" s="1">
        <f t="shared" si="11"/>
        <v>0</v>
      </c>
      <c r="AE63" s="1">
        <f t="shared" si="11"/>
        <v>0</v>
      </c>
      <c r="AF63" s="1">
        <f t="shared" si="11"/>
        <v>0</v>
      </c>
      <c r="AG63" s="1">
        <f t="shared" si="11"/>
        <v>0</v>
      </c>
      <c r="AH63" s="1">
        <f t="shared" si="11"/>
        <v>0</v>
      </c>
      <c r="AI63" s="1">
        <f t="shared" si="11"/>
        <v>0</v>
      </c>
      <c r="AJ63" s="1">
        <f t="shared" si="11"/>
        <v>0</v>
      </c>
      <c r="AK63" s="1">
        <f t="shared" si="11"/>
        <v>0</v>
      </c>
      <c r="AL63" s="1">
        <f t="shared" si="11"/>
        <v>0</v>
      </c>
      <c r="AM63" s="1">
        <f t="shared" si="11"/>
        <v>0</v>
      </c>
      <c r="AN63" s="1">
        <f t="shared" si="11"/>
        <v>0</v>
      </c>
      <c r="AO63" s="1">
        <f t="shared" si="11"/>
        <v>0</v>
      </c>
      <c r="AP63" s="1">
        <f t="shared" si="11"/>
        <v>0</v>
      </c>
      <c r="AQ63" s="1">
        <f t="shared" si="11"/>
        <v>0</v>
      </c>
      <c r="AR63" s="1">
        <f t="shared" si="11"/>
        <v>0</v>
      </c>
      <c r="AS63" s="1">
        <f t="shared" si="11"/>
        <v>0</v>
      </c>
      <c r="AT63" s="1">
        <f t="shared" si="12"/>
        <v>0</v>
      </c>
      <c r="AU63" s="1">
        <f t="shared" si="12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9"/>
        <v>0</v>
      </c>
      <c r="F64" s="1">
        <f t="shared" si="9"/>
        <v>0</v>
      </c>
      <c r="G64" s="1">
        <f t="shared" si="9"/>
        <v>0</v>
      </c>
      <c r="H64" s="1">
        <f t="shared" si="9"/>
        <v>0</v>
      </c>
      <c r="I64" s="1">
        <f t="shared" si="9"/>
        <v>0</v>
      </c>
      <c r="J64" s="1">
        <f t="shared" si="9"/>
        <v>0</v>
      </c>
      <c r="K64" s="1">
        <f t="shared" si="9"/>
        <v>0</v>
      </c>
      <c r="L64" s="1">
        <f t="shared" si="9"/>
        <v>0</v>
      </c>
      <c r="M64" s="1">
        <f t="shared" si="9"/>
        <v>0</v>
      </c>
      <c r="N64" s="1">
        <f t="shared" si="9"/>
        <v>0</v>
      </c>
      <c r="O64" s="1">
        <f t="shared" si="9"/>
        <v>0</v>
      </c>
      <c r="P64" s="1">
        <f t="shared" si="9"/>
        <v>0</v>
      </c>
      <c r="Q64" s="1">
        <f t="shared" si="9"/>
        <v>0</v>
      </c>
      <c r="R64" s="1">
        <f t="shared" si="9"/>
        <v>0</v>
      </c>
      <c r="S64" s="1">
        <f t="shared" si="9"/>
        <v>0</v>
      </c>
      <c r="T64" s="1">
        <f t="shared" si="9"/>
        <v>0</v>
      </c>
      <c r="U64" s="1">
        <f t="shared" si="10"/>
        <v>0</v>
      </c>
      <c r="V64" s="1">
        <f t="shared" si="10"/>
        <v>0</v>
      </c>
      <c r="W64" s="1">
        <f t="shared" si="10"/>
        <v>0</v>
      </c>
      <c r="X64" s="1">
        <f t="shared" si="10"/>
        <v>0</v>
      </c>
      <c r="Y64" s="1">
        <f t="shared" si="10"/>
        <v>0</v>
      </c>
      <c r="Z64" s="1">
        <f t="shared" si="10"/>
        <v>0</v>
      </c>
      <c r="AA64" s="1">
        <f t="shared" si="10"/>
        <v>0</v>
      </c>
      <c r="AD64" s="1">
        <f t="shared" si="11"/>
        <v>0</v>
      </c>
      <c r="AE64" s="1">
        <f t="shared" si="11"/>
        <v>0</v>
      </c>
      <c r="AF64" s="1">
        <f t="shared" si="11"/>
        <v>0</v>
      </c>
      <c r="AG64" s="1">
        <f t="shared" si="11"/>
        <v>0</v>
      </c>
      <c r="AH64" s="1">
        <f t="shared" si="11"/>
        <v>0</v>
      </c>
      <c r="AI64" s="1">
        <f t="shared" si="11"/>
        <v>0</v>
      </c>
      <c r="AJ64" s="1">
        <f t="shared" si="11"/>
        <v>0</v>
      </c>
      <c r="AK64" s="1">
        <f t="shared" si="11"/>
        <v>0</v>
      </c>
      <c r="AL64" s="1">
        <f t="shared" si="11"/>
        <v>0</v>
      </c>
      <c r="AM64" s="1">
        <f t="shared" si="11"/>
        <v>0</v>
      </c>
      <c r="AN64" s="1">
        <f t="shared" si="11"/>
        <v>0</v>
      </c>
      <c r="AO64" s="1">
        <f t="shared" si="11"/>
        <v>0</v>
      </c>
      <c r="AP64" s="1">
        <f t="shared" si="11"/>
        <v>0</v>
      </c>
      <c r="AQ64" s="1">
        <f t="shared" si="11"/>
        <v>0</v>
      </c>
      <c r="AR64" s="1">
        <f t="shared" si="11"/>
        <v>0</v>
      </c>
      <c r="AS64" s="1">
        <f t="shared" si="11"/>
        <v>0</v>
      </c>
      <c r="AT64" s="1">
        <f t="shared" si="12"/>
        <v>0</v>
      </c>
      <c r="AU64" s="1">
        <f t="shared" si="12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9"/>
        <v>0</v>
      </c>
      <c r="F65" s="1">
        <f t="shared" si="9"/>
        <v>0</v>
      </c>
      <c r="G65" s="1">
        <f t="shared" si="9"/>
        <v>0</v>
      </c>
      <c r="H65" s="1">
        <f t="shared" si="9"/>
        <v>0</v>
      </c>
      <c r="I65" s="1">
        <f t="shared" si="9"/>
        <v>0</v>
      </c>
      <c r="J65" s="1">
        <f t="shared" si="9"/>
        <v>0</v>
      </c>
      <c r="K65" s="1">
        <f t="shared" si="9"/>
        <v>0</v>
      </c>
      <c r="L65" s="1">
        <f t="shared" si="9"/>
        <v>0</v>
      </c>
      <c r="M65" s="1">
        <f t="shared" si="9"/>
        <v>0</v>
      </c>
      <c r="N65" s="1">
        <f t="shared" si="9"/>
        <v>0</v>
      </c>
      <c r="O65" s="1">
        <f t="shared" si="9"/>
        <v>0</v>
      </c>
      <c r="P65" s="1">
        <f t="shared" si="9"/>
        <v>0</v>
      </c>
      <c r="Q65" s="1">
        <f t="shared" si="9"/>
        <v>0</v>
      </c>
      <c r="R65" s="1">
        <f t="shared" si="9"/>
        <v>0</v>
      </c>
      <c r="S65" s="1">
        <f t="shared" si="9"/>
        <v>0</v>
      </c>
      <c r="T65" s="1">
        <f t="shared" si="9"/>
        <v>0</v>
      </c>
      <c r="U65" s="1">
        <f t="shared" si="10"/>
        <v>0</v>
      </c>
      <c r="V65" s="1">
        <f t="shared" si="10"/>
        <v>0</v>
      </c>
      <c r="W65" s="1">
        <f t="shared" si="10"/>
        <v>0</v>
      </c>
      <c r="X65" s="1">
        <f t="shared" si="10"/>
        <v>0</v>
      </c>
      <c r="Y65" s="1">
        <f t="shared" si="10"/>
        <v>0</v>
      </c>
      <c r="Z65" s="1">
        <f t="shared" si="10"/>
        <v>0</v>
      </c>
      <c r="AA65" s="1">
        <f t="shared" si="10"/>
        <v>0</v>
      </c>
      <c r="AD65" s="1">
        <f t="shared" ref="AD65:AM70" si="13">IFERROR(VLOOKUP($D65,$AC$10:$AU$29,AD$71,FALSE),0)</f>
        <v>0</v>
      </c>
      <c r="AE65" s="1">
        <f t="shared" si="13"/>
        <v>0</v>
      </c>
      <c r="AF65" s="1">
        <f t="shared" si="13"/>
        <v>0</v>
      </c>
      <c r="AG65" s="1">
        <f t="shared" si="13"/>
        <v>0</v>
      </c>
      <c r="AH65" s="1">
        <f t="shared" si="13"/>
        <v>0</v>
      </c>
      <c r="AI65" s="1">
        <f t="shared" si="13"/>
        <v>0</v>
      </c>
      <c r="AJ65" s="1">
        <f t="shared" si="13"/>
        <v>0</v>
      </c>
      <c r="AK65" s="1">
        <f t="shared" si="13"/>
        <v>0</v>
      </c>
      <c r="AL65" s="1">
        <f t="shared" si="13"/>
        <v>0</v>
      </c>
      <c r="AM65" s="1">
        <f t="shared" si="13"/>
        <v>0</v>
      </c>
      <c r="AN65" s="1">
        <f t="shared" ref="AN65:AU70" si="14">IFERROR(VLOOKUP($D65,$AC$10:$AU$29,AN$71,FALSE),0)</f>
        <v>0</v>
      </c>
      <c r="AO65" s="1">
        <f t="shared" si="14"/>
        <v>0</v>
      </c>
      <c r="AP65" s="1">
        <f t="shared" si="14"/>
        <v>0</v>
      </c>
      <c r="AQ65" s="1">
        <f t="shared" si="14"/>
        <v>0</v>
      </c>
      <c r="AR65" s="1">
        <f t="shared" si="14"/>
        <v>0</v>
      </c>
      <c r="AS65" s="1">
        <f t="shared" si="14"/>
        <v>0</v>
      </c>
      <c r="AT65" s="1">
        <f t="shared" si="14"/>
        <v>0</v>
      </c>
      <c r="AU65" s="1">
        <f t="shared" si="14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9"/>
        <v>0</v>
      </c>
      <c r="F66" s="1">
        <f t="shared" si="9"/>
        <v>0</v>
      </c>
      <c r="G66" s="1">
        <f t="shared" si="9"/>
        <v>0</v>
      </c>
      <c r="H66" s="1">
        <f t="shared" si="9"/>
        <v>0</v>
      </c>
      <c r="I66" s="1">
        <f t="shared" si="9"/>
        <v>0</v>
      </c>
      <c r="J66" s="1">
        <f t="shared" si="9"/>
        <v>0</v>
      </c>
      <c r="K66" s="1">
        <f t="shared" si="9"/>
        <v>0</v>
      </c>
      <c r="L66" s="1">
        <f t="shared" si="9"/>
        <v>0</v>
      </c>
      <c r="M66" s="1">
        <f t="shared" si="9"/>
        <v>0</v>
      </c>
      <c r="N66" s="1">
        <f t="shared" si="9"/>
        <v>0</v>
      </c>
      <c r="O66" s="1">
        <f t="shared" si="9"/>
        <v>0</v>
      </c>
      <c r="P66" s="1">
        <f t="shared" si="9"/>
        <v>0</v>
      </c>
      <c r="Q66" s="1">
        <f t="shared" si="9"/>
        <v>0</v>
      </c>
      <c r="R66" s="1">
        <f t="shared" si="9"/>
        <v>0</v>
      </c>
      <c r="S66" s="1">
        <f t="shared" si="9"/>
        <v>0</v>
      </c>
      <c r="T66" s="1">
        <f t="shared" ref="T66:T70" si="15">IFERROR(VLOOKUP($D66,$D$10:$AA$29,T$71,FALSE),0)</f>
        <v>0</v>
      </c>
      <c r="U66" s="1">
        <f t="shared" si="10"/>
        <v>0</v>
      </c>
      <c r="V66" s="1">
        <f t="shared" si="10"/>
        <v>0</v>
      </c>
      <c r="W66" s="1">
        <f t="shared" si="10"/>
        <v>0</v>
      </c>
      <c r="X66" s="1">
        <f t="shared" si="10"/>
        <v>0</v>
      </c>
      <c r="Y66" s="1">
        <f t="shared" si="10"/>
        <v>0</v>
      </c>
      <c r="Z66" s="1">
        <f t="shared" si="10"/>
        <v>0</v>
      </c>
      <c r="AA66" s="1">
        <f t="shared" si="10"/>
        <v>0</v>
      </c>
      <c r="AD66" s="1">
        <f t="shared" si="13"/>
        <v>0</v>
      </c>
      <c r="AE66" s="1">
        <f t="shared" si="13"/>
        <v>0</v>
      </c>
      <c r="AF66" s="1">
        <f t="shared" si="13"/>
        <v>0</v>
      </c>
      <c r="AG66" s="1">
        <f t="shared" si="13"/>
        <v>0</v>
      </c>
      <c r="AH66" s="1">
        <f t="shared" si="13"/>
        <v>0</v>
      </c>
      <c r="AI66" s="1">
        <f t="shared" si="13"/>
        <v>0</v>
      </c>
      <c r="AJ66" s="1">
        <f t="shared" si="13"/>
        <v>0</v>
      </c>
      <c r="AK66" s="1">
        <f t="shared" si="13"/>
        <v>0</v>
      </c>
      <c r="AL66" s="1">
        <f t="shared" si="13"/>
        <v>0</v>
      </c>
      <c r="AM66" s="1">
        <f t="shared" si="13"/>
        <v>0</v>
      </c>
      <c r="AN66" s="1">
        <f t="shared" si="14"/>
        <v>0</v>
      </c>
      <c r="AO66" s="1">
        <f t="shared" si="14"/>
        <v>0</v>
      </c>
      <c r="AP66" s="1">
        <f t="shared" si="14"/>
        <v>0</v>
      </c>
      <c r="AQ66" s="1">
        <f t="shared" si="14"/>
        <v>0</v>
      </c>
      <c r="AR66" s="1">
        <f t="shared" si="14"/>
        <v>0</v>
      </c>
      <c r="AS66" s="1">
        <f t="shared" si="14"/>
        <v>0</v>
      </c>
      <c r="AT66" s="1">
        <f t="shared" si="14"/>
        <v>0</v>
      </c>
      <c r="AU66" s="1">
        <f t="shared" si="14"/>
        <v>0</v>
      </c>
    </row>
    <row r="67" spans="3:47" ht="14.25" x14ac:dyDescent="0.7">
      <c r="C67" s="1" t="e">
        <f>IF(D67="","",VLOOKUP(D67,データ!A:C,2,FALSE))</f>
        <v>#N/A</v>
      </c>
      <c r="D67" s="6">
        <f>IFERROR(通算成績!B28,"")</f>
        <v>0</v>
      </c>
      <c r="E67" s="1">
        <f t="shared" ref="E67:S70" si="16">IFERROR(VLOOKUP($D67,$D$10:$AA$29,E$71,FALSE),0)</f>
        <v>0</v>
      </c>
      <c r="F67" s="1">
        <f t="shared" si="16"/>
        <v>0</v>
      </c>
      <c r="G67" s="1">
        <f t="shared" si="16"/>
        <v>0</v>
      </c>
      <c r="H67" s="1">
        <f t="shared" si="16"/>
        <v>0</v>
      </c>
      <c r="I67" s="1">
        <f t="shared" si="16"/>
        <v>0</v>
      </c>
      <c r="J67" s="1">
        <f t="shared" si="16"/>
        <v>0</v>
      </c>
      <c r="K67" s="1">
        <f t="shared" si="16"/>
        <v>0</v>
      </c>
      <c r="L67" s="1">
        <f t="shared" si="16"/>
        <v>0</v>
      </c>
      <c r="M67" s="1">
        <f t="shared" si="16"/>
        <v>0</v>
      </c>
      <c r="N67" s="1">
        <f t="shared" si="16"/>
        <v>0</v>
      </c>
      <c r="O67" s="1">
        <f t="shared" si="16"/>
        <v>0</v>
      </c>
      <c r="P67" s="1">
        <f t="shared" si="16"/>
        <v>0</v>
      </c>
      <c r="Q67" s="1">
        <f t="shared" si="16"/>
        <v>0</v>
      </c>
      <c r="R67" s="1">
        <f t="shared" si="16"/>
        <v>0</v>
      </c>
      <c r="S67" s="1">
        <f t="shared" si="16"/>
        <v>0</v>
      </c>
      <c r="T67" s="1">
        <f t="shared" si="15"/>
        <v>0</v>
      </c>
      <c r="U67" s="1">
        <f t="shared" si="10"/>
        <v>0</v>
      </c>
      <c r="V67" s="1">
        <f t="shared" si="10"/>
        <v>0</v>
      </c>
      <c r="W67" s="1">
        <f t="shared" si="10"/>
        <v>0</v>
      </c>
      <c r="X67" s="1">
        <f t="shared" si="10"/>
        <v>0</v>
      </c>
      <c r="Y67" s="1">
        <f t="shared" si="10"/>
        <v>0</v>
      </c>
      <c r="Z67" s="1">
        <f t="shared" si="10"/>
        <v>0</v>
      </c>
      <c r="AA67" s="1">
        <f t="shared" si="10"/>
        <v>0</v>
      </c>
      <c r="AD67" s="1">
        <f t="shared" si="13"/>
        <v>0</v>
      </c>
      <c r="AE67" s="1">
        <f t="shared" si="13"/>
        <v>0</v>
      </c>
      <c r="AF67" s="1">
        <f t="shared" si="13"/>
        <v>0</v>
      </c>
      <c r="AG67" s="1">
        <f t="shared" si="13"/>
        <v>0</v>
      </c>
      <c r="AH67" s="1">
        <f t="shared" si="13"/>
        <v>0</v>
      </c>
      <c r="AI67" s="1">
        <f t="shared" si="13"/>
        <v>0</v>
      </c>
      <c r="AJ67" s="1">
        <f t="shared" si="13"/>
        <v>0</v>
      </c>
      <c r="AK67" s="1">
        <f t="shared" si="13"/>
        <v>0</v>
      </c>
      <c r="AL67" s="1">
        <f t="shared" si="13"/>
        <v>0</v>
      </c>
      <c r="AM67" s="1">
        <f t="shared" si="13"/>
        <v>0</v>
      </c>
      <c r="AN67" s="1">
        <f t="shared" si="14"/>
        <v>0</v>
      </c>
      <c r="AO67" s="1">
        <f t="shared" si="14"/>
        <v>0</v>
      </c>
      <c r="AP67" s="1">
        <f t="shared" si="14"/>
        <v>0</v>
      </c>
      <c r="AQ67" s="1">
        <f t="shared" si="14"/>
        <v>0</v>
      </c>
      <c r="AR67" s="1">
        <f t="shared" si="14"/>
        <v>0</v>
      </c>
      <c r="AS67" s="1">
        <f t="shared" si="14"/>
        <v>0</v>
      </c>
      <c r="AT67" s="1">
        <f t="shared" si="14"/>
        <v>0</v>
      </c>
      <c r="AU67" s="1">
        <f t="shared" si="14"/>
        <v>0</v>
      </c>
    </row>
    <row r="68" spans="3:47" ht="14.25" x14ac:dyDescent="0.7">
      <c r="C68" s="1" t="e">
        <f>IF(D68="","",VLOOKUP(D68,データ!A:C,2,FALSE))</f>
        <v>#N/A</v>
      </c>
      <c r="D68" s="6">
        <f>IFERROR(通算成績!B29,"")</f>
        <v>0</v>
      </c>
      <c r="E68" s="1">
        <f t="shared" si="16"/>
        <v>0</v>
      </c>
      <c r="F68" s="1">
        <f t="shared" si="16"/>
        <v>0</v>
      </c>
      <c r="G68" s="1">
        <f t="shared" si="16"/>
        <v>0</v>
      </c>
      <c r="H68" s="1">
        <f t="shared" si="16"/>
        <v>0</v>
      </c>
      <c r="I68" s="1">
        <f t="shared" si="16"/>
        <v>0</v>
      </c>
      <c r="J68" s="1">
        <f t="shared" si="16"/>
        <v>0</v>
      </c>
      <c r="K68" s="1">
        <f t="shared" si="16"/>
        <v>0</v>
      </c>
      <c r="L68" s="1">
        <f t="shared" si="16"/>
        <v>0</v>
      </c>
      <c r="M68" s="1">
        <f t="shared" si="16"/>
        <v>0</v>
      </c>
      <c r="N68" s="1">
        <f t="shared" si="16"/>
        <v>0</v>
      </c>
      <c r="O68" s="1">
        <f t="shared" si="16"/>
        <v>0</v>
      </c>
      <c r="P68" s="1">
        <f t="shared" si="16"/>
        <v>0</v>
      </c>
      <c r="Q68" s="1">
        <f t="shared" si="16"/>
        <v>0</v>
      </c>
      <c r="R68" s="1">
        <f t="shared" si="16"/>
        <v>0</v>
      </c>
      <c r="S68" s="1">
        <f t="shared" si="16"/>
        <v>0</v>
      </c>
      <c r="T68" s="1">
        <f t="shared" si="15"/>
        <v>0</v>
      </c>
      <c r="U68" s="1">
        <f t="shared" si="10"/>
        <v>0</v>
      </c>
      <c r="V68" s="1">
        <f t="shared" si="10"/>
        <v>0</v>
      </c>
      <c r="W68" s="1">
        <f t="shared" si="10"/>
        <v>0</v>
      </c>
      <c r="X68" s="1">
        <f t="shared" si="10"/>
        <v>0</v>
      </c>
      <c r="Y68" s="1">
        <f t="shared" si="10"/>
        <v>0</v>
      </c>
      <c r="Z68" s="1">
        <f t="shared" si="10"/>
        <v>0</v>
      </c>
      <c r="AA68" s="1">
        <f t="shared" si="10"/>
        <v>0</v>
      </c>
      <c r="AD68" s="1">
        <f t="shared" si="13"/>
        <v>0</v>
      </c>
      <c r="AE68" s="1">
        <f t="shared" si="13"/>
        <v>0</v>
      </c>
      <c r="AF68" s="1">
        <f t="shared" si="13"/>
        <v>0</v>
      </c>
      <c r="AG68" s="1">
        <f t="shared" si="13"/>
        <v>0</v>
      </c>
      <c r="AH68" s="1">
        <f t="shared" si="13"/>
        <v>0</v>
      </c>
      <c r="AI68" s="1">
        <f t="shared" si="13"/>
        <v>0</v>
      </c>
      <c r="AJ68" s="1">
        <f t="shared" si="13"/>
        <v>0</v>
      </c>
      <c r="AK68" s="1">
        <f t="shared" si="13"/>
        <v>0</v>
      </c>
      <c r="AL68" s="1">
        <f t="shared" si="13"/>
        <v>0</v>
      </c>
      <c r="AM68" s="1">
        <f t="shared" si="13"/>
        <v>0</v>
      </c>
      <c r="AN68" s="1">
        <f t="shared" si="14"/>
        <v>0</v>
      </c>
      <c r="AO68" s="1">
        <f t="shared" si="14"/>
        <v>0</v>
      </c>
      <c r="AP68" s="1">
        <f t="shared" si="14"/>
        <v>0</v>
      </c>
      <c r="AQ68" s="1">
        <f t="shared" si="14"/>
        <v>0</v>
      </c>
      <c r="AR68" s="1">
        <f t="shared" si="14"/>
        <v>0</v>
      </c>
      <c r="AS68" s="1">
        <f t="shared" si="14"/>
        <v>0</v>
      </c>
      <c r="AT68" s="1">
        <f t="shared" si="14"/>
        <v>0</v>
      </c>
      <c r="AU68" s="1">
        <f t="shared" si="14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IFERROR(通算成績!B30,"")</f>
        <v>0</v>
      </c>
      <c r="E69" s="1">
        <f t="shared" si="16"/>
        <v>0</v>
      </c>
      <c r="F69" s="1">
        <f t="shared" si="16"/>
        <v>0</v>
      </c>
      <c r="G69" s="1">
        <f t="shared" si="16"/>
        <v>0</v>
      </c>
      <c r="H69" s="1">
        <f t="shared" si="16"/>
        <v>0</v>
      </c>
      <c r="I69" s="1">
        <f t="shared" si="16"/>
        <v>0</v>
      </c>
      <c r="J69" s="1">
        <f t="shared" si="16"/>
        <v>0</v>
      </c>
      <c r="K69" s="1">
        <f t="shared" si="16"/>
        <v>0</v>
      </c>
      <c r="L69" s="1">
        <f t="shared" si="16"/>
        <v>0</v>
      </c>
      <c r="M69" s="1">
        <f t="shared" si="16"/>
        <v>0</v>
      </c>
      <c r="N69" s="1">
        <f t="shared" si="16"/>
        <v>0</v>
      </c>
      <c r="O69" s="1">
        <f t="shared" si="16"/>
        <v>0</v>
      </c>
      <c r="P69" s="1">
        <f t="shared" si="16"/>
        <v>0</v>
      </c>
      <c r="Q69" s="1">
        <f t="shared" si="16"/>
        <v>0</v>
      </c>
      <c r="R69" s="1">
        <f t="shared" si="16"/>
        <v>0</v>
      </c>
      <c r="S69" s="1">
        <f t="shared" si="16"/>
        <v>0</v>
      </c>
      <c r="T69" s="1">
        <f t="shared" si="15"/>
        <v>0</v>
      </c>
      <c r="U69" s="1">
        <f t="shared" si="10"/>
        <v>0</v>
      </c>
      <c r="V69" s="1">
        <f t="shared" si="10"/>
        <v>0</v>
      </c>
      <c r="W69" s="1">
        <f t="shared" si="10"/>
        <v>0</v>
      </c>
      <c r="X69" s="1">
        <f t="shared" si="10"/>
        <v>0</v>
      </c>
      <c r="Y69" s="1">
        <f t="shared" si="10"/>
        <v>0</v>
      </c>
      <c r="Z69" s="1">
        <f t="shared" si="10"/>
        <v>0</v>
      </c>
      <c r="AA69" s="1">
        <f t="shared" si="10"/>
        <v>0</v>
      </c>
      <c r="AD69" s="1">
        <f t="shared" si="13"/>
        <v>0</v>
      </c>
      <c r="AE69" s="1">
        <f t="shared" si="13"/>
        <v>0</v>
      </c>
      <c r="AF69" s="1">
        <f t="shared" si="13"/>
        <v>0</v>
      </c>
      <c r="AG69" s="1">
        <f t="shared" si="13"/>
        <v>0</v>
      </c>
      <c r="AH69" s="1">
        <f t="shared" si="13"/>
        <v>0</v>
      </c>
      <c r="AI69" s="1">
        <f t="shared" si="13"/>
        <v>0</v>
      </c>
      <c r="AJ69" s="1">
        <f t="shared" si="13"/>
        <v>0</v>
      </c>
      <c r="AK69" s="1">
        <f t="shared" si="13"/>
        <v>0</v>
      </c>
      <c r="AL69" s="1">
        <f t="shared" si="13"/>
        <v>0</v>
      </c>
      <c r="AM69" s="1">
        <f t="shared" si="13"/>
        <v>0</v>
      </c>
      <c r="AN69" s="1">
        <f t="shared" si="14"/>
        <v>0</v>
      </c>
      <c r="AO69" s="1">
        <f t="shared" si="14"/>
        <v>0</v>
      </c>
      <c r="AP69" s="1">
        <f t="shared" si="14"/>
        <v>0</v>
      </c>
      <c r="AQ69" s="1">
        <f t="shared" si="14"/>
        <v>0</v>
      </c>
      <c r="AR69" s="1">
        <f t="shared" si="14"/>
        <v>0</v>
      </c>
      <c r="AS69" s="1">
        <f t="shared" si="14"/>
        <v>0</v>
      </c>
      <c r="AT69" s="1">
        <f t="shared" si="14"/>
        <v>0</v>
      </c>
      <c r="AU69" s="1">
        <f t="shared" si="14"/>
        <v>0</v>
      </c>
    </row>
    <row r="70" spans="3:47" ht="14.25" x14ac:dyDescent="0.7">
      <c r="C70" s="1" t="e">
        <f>IF(D70="","",VLOOKUP(D70,データ!A:C,2,FALSE))</f>
        <v>#N/A</v>
      </c>
      <c r="D70" s="6" t="str">
        <f>IFERROR(通算成績!B31,"")</f>
        <v>選手名</v>
      </c>
      <c r="E70" s="1">
        <f t="shared" si="16"/>
        <v>0</v>
      </c>
      <c r="F70" s="1">
        <f t="shared" si="16"/>
        <v>0</v>
      </c>
      <c r="G70" s="1">
        <f t="shared" si="16"/>
        <v>0</v>
      </c>
      <c r="H70" s="1">
        <f t="shared" si="16"/>
        <v>0</v>
      </c>
      <c r="I70" s="1">
        <f t="shared" si="16"/>
        <v>0</v>
      </c>
      <c r="J70" s="1">
        <f t="shared" si="16"/>
        <v>0</v>
      </c>
      <c r="K70" s="1">
        <f t="shared" si="16"/>
        <v>0</v>
      </c>
      <c r="L70" s="1">
        <f t="shared" si="16"/>
        <v>0</v>
      </c>
      <c r="M70" s="1">
        <f t="shared" si="16"/>
        <v>0</v>
      </c>
      <c r="N70" s="1">
        <f t="shared" si="16"/>
        <v>0</v>
      </c>
      <c r="O70" s="1">
        <f t="shared" si="16"/>
        <v>0</v>
      </c>
      <c r="P70" s="1">
        <f t="shared" si="16"/>
        <v>0</v>
      </c>
      <c r="Q70" s="1">
        <f t="shared" si="16"/>
        <v>0</v>
      </c>
      <c r="R70" s="1">
        <f t="shared" si="16"/>
        <v>0</v>
      </c>
      <c r="S70" s="1">
        <f t="shared" si="16"/>
        <v>0</v>
      </c>
      <c r="T70" s="1">
        <f t="shared" si="15"/>
        <v>0</v>
      </c>
      <c r="U70" s="1">
        <f t="shared" si="10"/>
        <v>0</v>
      </c>
      <c r="V70" s="1">
        <f t="shared" si="10"/>
        <v>0</v>
      </c>
      <c r="W70" s="1">
        <f t="shared" si="10"/>
        <v>0</v>
      </c>
      <c r="X70" s="1">
        <f t="shared" si="10"/>
        <v>0</v>
      </c>
      <c r="Y70" s="1">
        <f t="shared" si="10"/>
        <v>0</v>
      </c>
      <c r="Z70" s="1">
        <f t="shared" si="10"/>
        <v>0</v>
      </c>
      <c r="AA70" s="1">
        <f t="shared" si="10"/>
        <v>0</v>
      </c>
      <c r="AD70" s="1">
        <f t="shared" si="13"/>
        <v>0</v>
      </c>
      <c r="AE70" s="1">
        <f t="shared" si="13"/>
        <v>0</v>
      </c>
      <c r="AF70" s="1">
        <f t="shared" si="13"/>
        <v>0</v>
      </c>
      <c r="AG70" s="1">
        <f t="shared" si="13"/>
        <v>0</v>
      </c>
      <c r="AH70" s="1">
        <f t="shared" si="13"/>
        <v>0</v>
      </c>
      <c r="AI70" s="1">
        <f t="shared" si="13"/>
        <v>0</v>
      </c>
      <c r="AJ70" s="1">
        <f t="shared" si="13"/>
        <v>0</v>
      </c>
      <c r="AK70" s="1">
        <f t="shared" si="13"/>
        <v>0</v>
      </c>
      <c r="AL70" s="1">
        <f t="shared" si="13"/>
        <v>0</v>
      </c>
      <c r="AM70" s="1">
        <f t="shared" si="13"/>
        <v>0</v>
      </c>
      <c r="AN70" s="1">
        <f t="shared" si="14"/>
        <v>0</v>
      </c>
      <c r="AO70" s="1">
        <f t="shared" si="14"/>
        <v>0</v>
      </c>
      <c r="AP70" s="1">
        <f t="shared" si="14"/>
        <v>0</v>
      </c>
      <c r="AQ70" s="1">
        <f t="shared" si="14"/>
        <v>0</v>
      </c>
      <c r="AR70" s="1">
        <f t="shared" si="14"/>
        <v>0</v>
      </c>
      <c r="AS70" s="1">
        <f t="shared" si="14"/>
        <v>0</v>
      </c>
      <c r="AT70" s="1">
        <f t="shared" si="14"/>
        <v>0</v>
      </c>
      <c r="AU70" s="1">
        <f t="shared" si="14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E1:O1"/>
    <mergeCell ref="P1:AB1"/>
    <mergeCell ref="A2:D2"/>
    <mergeCell ref="E2:O2"/>
    <mergeCell ref="P2:AB2"/>
    <mergeCell ref="A1:D1"/>
    <mergeCell ref="C4:C6"/>
    <mergeCell ref="D4:F4"/>
    <mergeCell ref="D5:F5"/>
    <mergeCell ref="D6:F6"/>
    <mergeCell ref="A8:AA8"/>
    <mergeCell ref="AC1:AG1"/>
    <mergeCell ref="AJ9:AK9"/>
    <mergeCell ref="AH1:AU1"/>
    <mergeCell ref="AH2:AU2"/>
    <mergeCell ref="AB8:AU8"/>
    <mergeCell ref="AE2:AG2"/>
  </mergeCells>
  <phoneticPr fontId="2"/>
  <dataValidations xWindow="168" yWindow="722" count="5">
    <dataValidation type="list" allowBlank="1" showInputMessage="1" showErrorMessage="1" promptTitle="守備位置" prompt="守備位置を選択してください" sqref="B10:B29" xr:uid="{65DF6CB2-6C7E-44FD-B8F2-007F83997BFA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7CA142EE-1F1E-4279-BED4-BBC54EDC337E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63447942-5E87-49C5-A3DA-A472E2849CD2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7151A06D-55ED-4BD8-8B06-79F8774B9DB4}">
      <formula1>45017</formula1>
      <formula2>45747</formula2>
    </dataValidation>
    <dataValidation type="list" allowBlank="1" showInputMessage="1" showErrorMessage="1" promptTitle="勝敗" prompt="勝敗を選択してください" sqref="C4:C6" xr:uid="{11D55BE3-A5DC-4757-A85F-EDE52F54F1B2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xWindow="168" yWindow="722" count="7">
        <x14:dataValidation type="list" allowBlank="1" showInputMessage="1" showErrorMessage="1" promptTitle="選手名" prompt="選手目を選択してください" xr:uid="{C72A3EAD-3174-4A05-A1BB-C92772C1F622}">
          <x14:formula1>
            <xm:f>データ!$A:$A</xm:f>
          </x14:formula1>
          <xm:sqref>D41:D70</xm:sqref>
        </x14:dataValidation>
        <x14:dataValidation type="list" allowBlank="1" showInputMessage="1" showErrorMessage="1" promptTitle="後攻" prompt="後攻チームを選択してください" xr:uid="{D7B68279-7BDE-42D7-88F5-21FE48BA67A3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6AA22249-D3F1-4F9C-A7E0-EB024015E789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D9B09C18-C6BF-454D-B7AC-7D27BDCD3A41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200C8017-9AA8-4536-924F-F692B427D5EC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3BB6AB5C-6FF1-41DB-898B-DBDB322EBB71}">
          <x14:formula1>
            <xm:f>データ!$E:$E</xm:f>
          </x14:formula1>
          <xm:sqref>E2:O2</xm:sqref>
        </x14:dataValidation>
        <x14:dataValidation type="list" allowBlank="1" showInputMessage="1" showErrorMessage="1" promptTitle="選手名" prompt="選手名を選択してください" xr:uid="{324E6DC1-6DE7-4BBC-8B7C-BA98B5497E16}">
          <x14:formula1>
            <xm:f>データ!$A:$A</xm:f>
          </x14:formula1>
          <xm:sqref>D10:D29 AC10:AC29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4F899-E298-486F-8DDD-25161DF9C055}">
  <sheetPr codeName="Sheet5">
    <tabColor theme="1"/>
  </sheetPr>
  <dimension ref="A1:I59"/>
  <sheetViews>
    <sheetView tabSelected="1" workbookViewId="0">
      <selection activeCell="E3" sqref="E3"/>
    </sheetView>
  </sheetViews>
  <sheetFormatPr defaultColWidth="8.6875" defaultRowHeight="17.649999999999999" x14ac:dyDescent="0.7"/>
  <cols>
    <col min="1" max="11" width="8.6875" style="1"/>
    <col min="12" max="13" width="9.0625" style="1" customWidth="1"/>
    <col min="14" max="16384" width="8.6875" style="1"/>
  </cols>
  <sheetData>
    <row r="1" spans="1:9" x14ac:dyDescent="0.7">
      <c r="A1" s="1" t="s">
        <v>321</v>
      </c>
      <c r="E1" s="1" t="s">
        <v>91</v>
      </c>
      <c r="G1" s="1" t="s">
        <v>90</v>
      </c>
      <c r="I1" s="1" t="s">
        <v>89</v>
      </c>
    </row>
    <row r="2" spans="1:9" x14ac:dyDescent="0.7">
      <c r="A2" s="1" t="s">
        <v>229</v>
      </c>
      <c r="B2" s="1">
        <v>1</v>
      </c>
      <c r="C2" s="1" t="s">
        <v>230</v>
      </c>
      <c r="E2" s="1" t="s">
        <v>88</v>
      </c>
      <c r="G2" s="1" t="s">
        <v>87</v>
      </c>
      <c r="I2" s="1" t="s">
        <v>86</v>
      </c>
    </row>
    <row r="3" spans="1:9" x14ac:dyDescent="0.7">
      <c r="A3" s="1" t="s">
        <v>256</v>
      </c>
      <c r="B3" s="1">
        <v>5</v>
      </c>
      <c r="C3" s="1" t="s">
        <v>249</v>
      </c>
      <c r="E3" s="1" t="s">
        <v>185</v>
      </c>
      <c r="G3" s="1" t="s">
        <v>85</v>
      </c>
      <c r="I3" s="1" t="s">
        <v>186</v>
      </c>
    </row>
    <row r="4" spans="1:9" x14ac:dyDescent="0.7">
      <c r="A4" s="1" t="s">
        <v>254</v>
      </c>
      <c r="B4" s="1">
        <v>7</v>
      </c>
      <c r="C4" s="1" t="s">
        <v>255</v>
      </c>
      <c r="G4" s="1" t="s">
        <v>84</v>
      </c>
      <c r="I4" s="1" t="s">
        <v>272</v>
      </c>
    </row>
    <row r="5" spans="1:9" x14ac:dyDescent="0.7">
      <c r="A5" s="1" t="s">
        <v>268</v>
      </c>
      <c r="B5" s="1">
        <v>9</v>
      </c>
      <c r="C5" s="1" t="s">
        <v>269</v>
      </c>
      <c r="G5" s="1" t="s">
        <v>214</v>
      </c>
      <c r="I5" s="1" t="s">
        <v>315</v>
      </c>
    </row>
    <row r="6" spans="1:9" x14ac:dyDescent="0.7">
      <c r="A6" s="1" t="s">
        <v>233</v>
      </c>
      <c r="B6" s="1">
        <v>11</v>
      </c>
      <c r="C6" s="1" t="s">
        <v>234</v>
      </c>
      <c r="G6" s="1" t="s">
        <v>215</v>
      </c>
    </row>
    <row r="7" spans="1:9" x14ac:dyDescent="0.7">
      <c r="A7" s="1" t="s">
        <v>260</v>
      </c>
      <c r="B7" s="1">
        <v>17</v>
      </c>
      <c r="C7" s="1" t="s">
        <v>261</v>
      </c>
      <c r="G7" s="1" t="s">
        <v>224</v>
      </c>
    </row>
    <row r="8" spans="1:9" x14ac:dyDescent="0.7">
      <c r="A8" s="1" t="s">
        <v>262</v>
      </c>
      <c r="B8" s="1">
        <v>18</v>
      </c>
      <c r="C8" s="1" t="s">
        <v>263</v>
      </c>
      <c r="G8" s="1" t="s">
        <v>225</v>
      </c>
    </row>
    <row r="9" spans="1:9" x14ac:dyDescent="0.7">
      <c r="A9" s="1" t="s">
        <v>250</v>
      </c>
      <c r="B9" s="1">
        <v>21</v>
      </c>
      <c r="C9" s="1" t="s">
        <v>251</v>
      </c>
      <c r="G9" s="1" t="s">
        <v>226</v>
      </c>
    </row>
    <row r="10" spans="1:9" x14ac:dyDescent="0.7">
      <c r="A10" s="1" t="s">
        <v>264</v>
      </c>
      <c r="B10" s="1">
        <v>23</v>
      </c>
      <c r="C10" s="1" t="s">
        <v>265</v>
      </c>
      <c r="G10" s="1" t="s">
        <v>271</v>
      </c>
    </row>
    <row r="11" spans="1:9" x14ac:dyDescent="0.7">
      <c r="A11" s="1" t="s">
        <v>252</v>
      </c>
      <c r="B11" s="1">
        <v>26</v>
      </c>
      <c r="C11" s="1" t="s">
        <v>253</v>
      </c>
      <c r="G11" s="1" t="s">
        <v>323</v>
      </c>
    </row>
    <row r="12" spans="1:9" x14ac:dyDescent="0.7">
      <c r="A12" s="1" t="s">
        <v>241</v>
      </c>
      <c r="B12" s="1">
        <v>33</v>
      </c>
      <c r="C12" s="1" t="s">
        <v>242</v>
      </c>
      <c r="G12" s="1" t="s">
        <v>331</v>
      </c>
    </row>
    <row r="13" spans="1:9" x14ac:dyDescent="0.7">
      <c r="A13" s="1" t="s">
        <v>181</v>
      </c>
      <c r="B13" s="1">
        <v>46</v>
      </c>
      <c r="C13" s="1" t="s">
        <v>182</v>
      </c>
    </row>
    <row r="14" spans="1:9" x14ac:dyDescent="0.7">
      <c r="A14" s="1" t="s">
        <v>258</v>
      </c>
      <c r="B14" s="1">
        <v>47</v>
      </c>
      <c r="C14" s="1" t="s">
        <v>249</v>
      </c>
    </row>
    <row r="15" spans="1:9" x14ac:dyDescent="0.7">
      <c r="A15" s="1" t="s">
        <v>243</v>
      </c>
      <c r="B15" s="1">
        <v>50</v>
      </c>
      <c r="C15" s="1" t="s">
        <v>244</v>
      </c>
    </row>
    <row r="16" spans="1:9" x14ac:dyDescent="0.7">
      <c r="A16" s="1" t="s">
        <v>245</v>
      </c>
      <c r="B16" s="1">
        <v>51</v>
      </c>
      <c r="C16" s="1" t="s">
        <v>246</v>
      </c>
    </row>
    <row r="17" spans="1:3" x14ac:dyDescent="0.7">
      <c r="A17" s="1" t="s">
        <v>259</v>
      </c>
      <c r="B17" s="1">
        <v>53</v>
      </c>
      <c r="C17" s="1" t="s">
        <v>249</v>
      </c>
    </row>
    <row r="18" spans="1:3" x14ac:dyDescent="0.7">
      <c r="A18" s="1" t="s">
        <v>266</v>
      </c>
      <c r="B18" s="1">
        <v>85</v>
      </c>
      <c r="C18" s="1" t="s">
        <v>267</v>
      </c>
    </row>
    <row r="19" spans="1:3" x14ac:dyDescent="0.7">
      <c r="A19" s="1" t="s">
        <v>92</v>
      </c>
    </row>
    <row r="20" spans="1:3" x14ac:dyDescent="0.7">
      <c r="A20" s="1" t="s">
        <v>229</v>
      </c>
      <c r="B20" s="1">
        <v>1</v>
      </c>
      <c r="C20" s="1" t="s">
        <v>230</v>
      </c>
    </row>
    <row r="21" spans="1:3" x14ac:dyDescent="0.7">
      <c r="A21" s="1" t="s">
        <v>231</v>
      </c>
      <c r="B21" s="1">
        <v>21</v>
      </c>
      <c r="C21" s="1" t="s">
        <v>232</v>
      </c>
    </row>
    <row r="22" spans="1:3" x14ac:dyDescent="0.7">
      <c r="A22" s="1" t="s">
        <v>233</v>
      </c>
      <c r="B22" s="1">
        <v>11</v>
      </c>
      <c r="C22" s="1" t="s">
        <v>234</v>
      </c>
    </row>
    <row r="23" spans="1:3" x14ac:dyDescent="0.7">
      <c r="A23" s="1" t="s">
        <v>235</v>
      </c>
      <c r="B23" s="1">
        <v>12</v>
      </c>
      <c r="C23" s="1" t="s">
        <v>236</v>
      </c>
    </row>
    <row r="24" spans="1:3" x14ac:dyDescent="0.7">
      <c r="A24" s="1" t="s">
        <v>181</v>
      </c>
      <c r="B24" s="1">
        <v>46</v>
      </c>
      <c r="C24" s="1" t="s">
        <v>182</v>
      </c>
    </row>
    <row r="25" spans="1:3" ht="14.25" x14ac:dyDescent="0.7">
      <c r="A25" s="1" t="s">
        <v>237</v>
      </c>
      <c r="B25" s="1">
        <v>3</v>
      </c>
      <c r="C25" s="1" t="s">
        <v>238</v>
      </c>
    </row>
    <row r="26" spans="1:3" ht="14.25" x14ac:dyDescent="0.7">
      <c r="A26" s="1" t="s">
        <v>239</v>
      </c>
      <c r="B26" s="1">
        <v>25</v>
      </c>
      <c r="C26" s="1" t="s">
        <v>240</v>
      </c>
    </row>
    <row r="27" spans="1:3" ht="14.25" x14ac:dyDescent="0.7">
      <c r="A27" s="1" t="s">
        <v>241</v>
      </c>
      <c r="B27" s="1">
        <v>33</v>
      </c>
      <c r="C27" s="1" t="s">
        <v>242</v>
      </c>
    </row>
    <row r="28" spans="1:3" ht="14.25" x14ac:dyDescent="0.7">
      <c r="A28" s="1" t="s">
        <v>243</v>
      </c>
      <c r="B28" s="1">
        <v>50</v>
      </c>
      <c r="C28" s="1" t="s">
        <v>244</v>
      </c>
    </row>
    <row r="29" spans="1:3" ht="14.25" x14ac:dyDescent="0.7">
      <c r="A29" s="1" t="s">
        <v>245</v>
      </c>
      <c r="B29" s="1">
        <v>51</v>
      </c>
      <c r="C29" s="1" t="s">
        <v>246</v>
      </c>
    </row>
    <row r="30" spans="1:3" ht="14.25" x14ac:dyDescent="0.7">
      <c r="A30" s="1" t="s">
        <v>247</v>
      </c>
      <c r="B30" s="1">
        <v>99</v>
      </c>
      <c r="C30" s="1" t="s">
        <v>248</v>
      </c>
    </row>
    <row r="31" spans="1:3" ht="14.25" x14ac:dyDescent="0.7">
      <c r="A31" s="1" t="s">
        <v>250</v>
      </c>
      <c r="B31" s="1">
        <v>21</v>
      </c>
      <c r="C31" s="1" t="s">
        <v>251</v>
      </c>
    </row>
    <row r="32" spans="1:3" ht="14.25" x14ac:dyDescent="0.7">
      <c r="A32" s="1" t="s">
        <v>252</v>
      </c>
      <c r="B32" s="1">
        <v>26</v>
      </c>
      <c r="C32" s="1" t="s">
        <v>253</v>
      </c>
    </row>
    <row r="33" spans="1:3" ht="14.25" x14ac:dyDescent="0.7">
      <c r="A33" s="1" t="s">
        <v>254</v>
      </c>
      <c r="B33" s="1">
        <v>7</v>
      </c>
      <c r="C33" s="1" t="s">
        <v>255</v>
      </c>
    </row>
    <row r="34" spans="1:3" ht="14.25" x14ac:dyDescent="0.7">
      <c r="A34" s="1" t="s">
        <v>256</v>
      </c>
      <c r="B34" s="1">
        <v>5</v>
      </c>
      <c r="C34" s="1" t="s">
        <v>249</v>
      </c>
    </row>
    <row r="35" spans="1:3" ht="14.25" x14ac:dyDescent="0.7">
      <c r="A35" s="1" t="s">
        <v>318</v>
      </c>
      <c r="B35" s="1">
        <v>9</v>
      </c>
      <c r="C35" s="1" t="s">
        <v>257</v>
      </c>
    </row>
    <row r="36" spans="1:3" ht="14.25" x14ac:dyDescent="0.7">
      <c r="A36" s="1" t="s">
        <v>258</v>
      </c>
      <c r="B36" s="1">
        <v>47</v>
      </c>
      <c r="C36" s="1" t="s">
        <v>249</v>
      </c>
    </row>
    <row r="37" spans="1:3" ht="14.25" x14ac:dyDescent="0.7">
      <c r="A37" s="1" t="s">
        <v>259</v>
      </c>
      <c r="B37" s="1">
        <v>53</v>
      </c>
      <c r="C37" s="1" t="s">
        <v>249</v>
      </c>
    </row>
    <row r="38" spans="1:3" ht="14.25" x14ac:dyDescent="0.7">
      <c r="A38" s="1" t="s">
        <v>260</v>
      </c>
      <c r="B38" s="1">
        <v>17</v>
      </c>
      <c r="C38" s="1" t="s">
        <v>261</v>
      </c>
    </row>
    <row r="39" spans="1:3" ht="14.25" x14ac:dyDescent="0.7">
      <c r="A39" s="1" t="s">
        <v>262</v>
      </c>
      <c r="B39" s="1">
        <v>18</v>
      </c>
      <c r="C39" s="1" t="s">
        <v>263</v>
      </c>
    </row>
    <row r="40" spans="1:3" ht="14.25" x14ac:dyDescent="0.7">
      <c r="A40" s="1" t="s">
        <v>264</v>
      </c>
      <c r="B40" s="1">
        <v>23</v>
      </c>
      <c r="C40" s="1" t="s">
        <v>265</v>
      </c>
    </row>
    <row r="41" spans="1:3" ht="14.25" x14ac:dyDescent="0.7">
      <c r="A41" s="1" t="s">
        <v>266</v>
      </c>
      <c r="B41" s="1">
        <v>85</v>
      </c>
      <c r="C41" s="1" t="s">
        <v>267</v>
      </c>
    </row>
    <row r="42" spans="1:3" ht="14.25" x14ac:dyDescent="0.7">
      <c r="A42" s="1" t="s">
        <v>268</v>
      </c>
      <c r="B42" s="1">
        <v>9</v>
      </c>
      <c r="C42" s="1" t="s">
        <v>269</v>
      </c>
    </row>
    <row r="43" spans="1:3" ht="14.25" x14ac:dyDescent="0.7">
      <c r="A43" s="1" t="s">
        <v>82</v>
      </c>
    </row>
    <row r="44" spans="1:3" ht="14.25" x14ac:dyDescent="0.7">
      <c r="A44" s="1" t="s">
        <v>81</v>
      </c>
      <c r="B44" s="1">
        <v>1</v>
      </c>
      <c r="C44" s="1" t="s">
        <v>80</v>
      </c>
    </row>
    <row r="45" spans="1:3" ht="14.25" x14ac:dyDescent="0.7">
      <c r="A45" s="1" t="s">
        <v>79</v>
      </c>
      <c r="B45" s="1">
        <v>21</v>
      </c>
      <c r="C45" s="1" t="s">
        <v>78</v>
      </c>
    </row>
    <row r="46" spans="1:3" ht="14.25" x14ac:dyDescent="0.7">
      <c r="A46" s="1" t="s">
        <v>77</v>
      </c>
      <c r="B46" s="1">
        <v>27</v>
      </c>
      <c r="C46" s="1" t="s">
        <v>76</v>
      </c>
    </row>
    <row r="47" spans="1:3" ht="14.25" x14ac:dyDescent="0.7">
      <c r="A47" s="1" t="s">
        <v>75</v>
      </c>
      <c r="B47" s="1">
        <v>12</v>
      </c>
      <c r="C47" s="1" t="s">
        <v>74</v>
      </c>
    </row>
    <row r="48" spans="1:3" ht="14.25" x14ac:dyDescent="0.7">
      <c r="A48" s="1" t="s">
        <v>73</v>
      </c>
      <c r="B48" s="1">
        <v>3</v>
      </c>
      <c r="C48" s="1" t="s">
        <v>72</v>
      </c>
    </row>
    <row r="49" spans="1:3" ht="14.25" x14ac:dyDescent="0.7">
      <c r="A49" s="1" t="s">
        <v>71</v>
      </c>
      <c r="B49" s="1">
        <v>17</v>
      </c>
      <c r="C49" s="1" t="s">
        <v>70</v>
      </c>
    </row>
    <row r="50" spans="1:3" ht="14.25" x14ac:dyDescent="0.7">
      <c r="A50" s="1" t="s">
        <v>69</v>
      </c>
      <c r="B50" s="1">
        <v>25</v>
      </c>
      <c r="C50" s="1" t="s">
        <v>68</v>
      </c>
    </row>
    <row r="51" spans="1:3" ht="14.25" x14ac:dyDescent="0.7">
      <c r="A51" s="1" t="s">
        <v>67</v>
      </c>
      <c r="B51" s="1">
        <v>26</v>
      </c>
      <c r="C51" s="1" t="s">
        <v>66</v>
      </c>
    </row>
    <row r="52" spans="1:3" ht="14.25" x14ac:dyDescent="0.7">
      <c r="A52" s="1" t="s">
        <v>65</v>
      </c>
      <c r="B52" s="1">
        <v>33</v>
      </c>
      <c r="C52" s="1" t="s">
        <v>64</v>
      </c>
    </row>
    <row r="53" spans="1:3" ht="14.25" x14ac:dyDescent="0.7">
      <c r="A53" s="1" t="s">
        <v>63</v>
      </c>
      <c r="B53" s="1">
        <v>50</v>
      </c>
      <c r="C53" s="1" t="s">
        <v>62</v>
      </c>
    </row>
    <row r="54" spans="1:3" ht="14.25" x14ac:dyDescent="0.7">
      <c r="A54" s="1" t="s">
        <v>61</v>
      </c>
      <c r="B54" s="1">
        <v>51</v>
      </c>
      <c r="C54" s="1" t="s">
        <v>60</v>
      </c>
    </row>
    <row r="55" spans="1:3" ht="14.25" x14ac:dyDescent="0.7">
      <c r="A55" s="1" t="s">
        <v>59</v>
      </c>
      <c r="B55" s="1">
        <v>99</v>
      </c>
      <c r="C55" s="1" t="s">
        <v>58</v>
      </c>
    </row>
    <row r="56" spans="1:3" ht="14.25" x14ac:dyDescent="0.7">
      <c r="A56" s="1" t="s">
        <v>57</v>
      </c>
      <c r="B56" s="1">
        <v>5</v>
      </c>
      <c r="C56" s="1" t="s">
        <v>52</v>
      </c>
    </row>
    <row r="57" spans="1:3" ht="14.25" x14ac:dyDescent="0.7">
      <c r="A57" s="1" t="s">
        <v>56</v>
      </c>
      <c r="B57" s="1">
        <v>9</v>
      </c>
      <c r="C57" s="1" t="s">
        <v>55</v>
      </c>
    </row>
    <row r="58" spans="1:3" ht="14.25" x14ac:dyDescent="0.7">
      <c r="A58" s="1" t="s">
        <v>54</v>
      </c>
      <c r="B58" s="1">
        <v>47</v>
      </c>
      <c r="C58" s="1" t="s">
        <v>52</v>
      </c>
    </row>
    <row r="59" spans="1:3" ht="14.25" x14ac:dyDescent="0.7">
      <c r="A59" s="1" t="s">
        <v>53</v>
      </c>
      <c r="B59" s="1">
        <v>53</v>
      </c>
      <c r="C59" s="1" t="s">
        <v>52</v>
      </c>
    </row>
  </sheetData>
  <sortState xmlns:xlrd2="http://schemas.microsoft.com/office/spreadsheetml/2017/richdata2" ref="A2:C18">
    <sortCondition ref="B2:B18"/>
  </sortState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DC5A3-54BF-403D-B498-4A927D373E85}">
  <sheetPr codeName="Sheet25">
    <pageSetUpPr fitToPage="1"/>
  </sheetPr>
  <dimension ref="A1:AU71"/>
  <sheetViews>
    <sheetView zoomScale="70" zoomScaleNormal="70" workbookViewId="0">
      <selection activeCell="AL9" sqref="AL9:AU9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.1875" style="1" bestFit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45715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331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0.60416666666666663</v>
      </c>
      <c r="AD2" s="17" t="s">
        <v>46</v>
      </c>
      <c r="AE2" s="92">
        <v>0.66666666666666663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331</v>
      </c>
      <c r="E5" s="95"/>
      <c r="F5" s="95"/>
      <c r="G5" s="2">
        <v>0</v>
      </c>
      <c r="H5" s="2">
        <v>1</v>
      </c>
      <c r="I5" s="2">
        <v>0</v>
      </c>
      <c r="J5" s="2">
        <v>0</v>
      </c>
      <c r="K5" s="2">
        <v>0</v>
      </c>
      <c r="L5" s="2">
        <v>0</v>
      </c>
      <c r="M5" s="2">
        <v>3</v>
      </c>
      <c r="N5" s="2"/>
      <c r="O5" s="2"/>
      <c r="P5" s="2"/>
      <c r="Q5" s="2"/>
      <c r="R5" s="2"/>
      <c r="S5" s="2"/>
      <c r="T5" s="10">
        <f>SUM(G5:S5)</f>
        <v>4</v>
      </c>
      <c r="U5" s="10">
        <f>IF(D5="九州工業大学",G30,AT30)</f>
        <v>4</v>
      </c>
      <c r="V5" s="10">
        <f>IF(D5="九州工業大学",AA30,N30)</f>
        <v>2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1</v>
      </c>
      <c r="J6" s="2">
        <v>0</v>
      </c>
      <c r="K6" s="2">
        <v>0</v>
      </c>
      <c r="L6" s="2">
        <v>1</v>
      </c>
      <c r="M6" s="2">
        <v>1</v>
      </c>
      <c r="N6" s="2"/>
      <c r="O6" s="2"/>
      <c r="P6" s="2"/>
      <c r="Q6" s="2"/>
      <c r="R6" s="2"/>
      <c r="S6" s="2"/>
      <c r="T6" s="10">
        <f>SUM(G6:S6)</f>
        <v>3</v>
      </c>
      <c r="U6" s="10">
        <f>IF(D6="九州工業大学",G30,AT30)</f>
        <v>8</v>
      </c>
      <c r="V6" s="10">
        <f>IF(D6="九州工業大学",AA30,N30)</f>
        <v>4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1</v>
      </c>
      <c r="D10" s="7" t="s">
        <v>229</v>
      </c>
      <c r="E10" s="9">
        <v>4</v>
      </c>
      <c r="F10" s="10">
        <f>IF(D10="","",E10-R10-S10-W10-X10)</f>
        <v>4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>
        <v>1</v>
      </c>
      <c r="O10" s="9"/>
      <c r="P10" s="9"/>
      <c r="Q10" s="9"/>
      <c r="R10" s="9"/>
      <c r="S10" s="9"/>
      <c r="T10" s="9"/>
      <c r="U10" s="9"/>
      <c r="V10" s="9"/>
      <c r="W10" s="9"/>
      <c r="X10" s="9"/>
      <c r="Y10" s="9">
        <v>3</v>
      </c>
      <c r="Z10" s="9">
        <v>4</v>
      </c>
      <c r="AA10" s="9">
        <v>1</v>
      </c>
      <c r="AB10" s="10">
        <f>IF(AC10="","",VLOOKUP(AC10,データ!A:C,2,FALSE))</f>
        <v>33</v>
      </c>
      <c r="AC10" s="7" t="s">
        <v>241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7</v>
      </c>
      <c r="AK10" s="9"/>
      <c r="AL10" s="9">
        <v>112</v>
      </c>
      <c r="AM10" s="9">
        <v>4</v>
      </c>
      <c r="AN10" s="9">
        <v>1</v>
      </c>
      <c r="AO10" s="9">
        <v>33</v>
      </c>
      <c r="AP10" s="9">
        <v>3</v>
      </c>
      <c r="AQ10" s="9">
        <v>2</v>
      </c>
      <c r="AR10" s="9">
        <v>3</v>
      </c>
      <c r="AS10" s="9"/>
      <c r="AT10" s="9">
        <v>4</v>
      </c>
      <c r="AU10" s="9"/>
    </row>
    <row r="11" spans="1:47" x14ac:dyDescent="0.7">
      <c r="A11" s="2">
        <v>2</v>
      </c>
      <c r="B11" s="8" t="s">
        <v>104</v>
      </c>
      <c r="C11" s="10">
        <f>IF(D11="","",VLOOKUP(D11,データ!A:C,2,FALSE))</f>
        <v>53</v>
      </c>
      <c r="D11" s="7" t="s">
        <v>259</v>
      </c>
      <c r="E11" s="9">
        <v>4</v>
      </c>
      <c r="F11" s="10">
        <f t="shared" ref="F11:F29" si="0">IF(D11="","",E11-R11-S11-W11-X11)</f>
        <v>4</v>
      </c>
      <c r="G11" s="10">
        <f t="shared" ref="G11:G29" si="1">IF(D11="","",SUM(J11:M11))</f>
        <v>1</v>
      </c>
      <c r="H11" s="9"/>
      <c r="I11" s="9"/>
      <c r="J11" s="9">
        <v>1</v>
      </c>
      <c r="K11" s="9"/>
      <c r="L11" s="9"/>
      <c r="M11" s="9"/>
      <c r="N11" s="9"/>
      <c r="O11" s="9"/>
      <c r="P11" s="9">
        <v>1</v>
      </c>
      <c r="Q11" s="9"/>
      <c r="R11" s="9"/>
      <c r="S11" s="9"/>
      <c r="T11" s="9"/>
      <c r="U11" s="9"/>
      <c r="V11" s="9"/>
      <c r="W11" s="9"/>
      <c r="X11" s="9"/>
      <c r="Y11" s="9"/>
      <c r="Z11" s="9">
        <v>1</v>
      </c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103</v>
      </c>
      <c r="C12" s="10">
        <f>IF(D12="","",VLOOKUP(D12,データ!A:C,2,FALSE))</f>
        <v>18</v>
      </c>
      <c r="D12" s="7" t="s">
        <v>262</v>
      </c>
      <c r="E12" s="9">
        <v>4</v>
      </c>
      <c r="F12" s="10">
        <f t="shared" si="0"/>
        <v>2</v>
      </c>
      <c r="G12" s="10">
        <f t="shared" si="1"/>
        <v>1</v>
      </c>
      <c r="H12" s="9">
        <v>1</v>
      </c>
      <c r="I12" s="9"/>
      <c r="J12" s="9">
        <v>1</v>
      </c>
      <c r="K12" s="9"/>
      <c r="L12" s="9"/>
      <c r="M12" s="9"/>
      <c r="N12" s="9"/>
      <c r="O12" s="9"/>
      <c r="P12" s="9">
        <v>1</v>
      </c>
      <c r="Q12" s="9"/>
      <c r="R12" s="9">
        <v>2</v>
      </c>
      <c r="S12" s="9"/>
      <c r="T12" s="9"/>
      <c r="U12" s="9"/>
      <c r="V12" s="9"/>
      <c r="W12" s="9"/>
      <c r="X12" s="9"/>
      <c r="Y12" s="9">
        <v>8</v>
      </c>
      <c r="Z12" s="9">
        <v>1</v>
      </c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23</v>
      </c>
      <c r="D13" s="7" t="s">
        <v>264</v>
      </c>
      <c r="E13" s="9">
        <v>4</v>
      </c>
      <c r="F13" s="10">
        <f t="shared" si="0"/>
        <v>3</v>
      </c>
      <c r="G13" s="10">
        <f t="shared" si="1"/>
        <v>2</v>
      </c>
      <c r="H13" s="9">
        <v>2</v>
      </c>
      <c r="I13" s="9">
        <v>1</v>
      </c>
      <c r="J13" s="9"/>
      <c r="K13" s="9">
        <v>2</v>
      </c>
      <c r="L13" s="9"/>
      <c r="M13" s="9"/>
      <c r="N13" s="9"/>
      <c r="O13" s="9">
        <v>1</v>
      </c>
      <c r="P13" s="9">
        <v>1</v>
      </c>
      <c r="Q13" s="9"/>
      <c r="R13" s="9">
        <v>1</v>
      </c>
      <c r="S13" s="9"/>
      <c r="T13" s="9"/>
      <c r="U13" s="9"/>
      <c r="V13" s="9"/>
      <c r="W13" s="9"/>
      <c r="X13" s="9"/>
      <c r="Y13" s="9">
        <v>4</v>
      </c>
      <c r="Z13" s="9">
        <v>1</v>
      </c>
      <c r="AA13" s="9">
        <v>2</v>
      </c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106</v>
      </c>
      <c r="C14" s="10">
        <f>IF(D14="","",VLOOKUP(D14,データ!A:C,2,FALSE))</f>
        <v>46</v>
      </c>
      <c r="D14" s="7" t="s">
        <v>181</v>
      </c>
      <c r="E14" s="9">
        <v>4</v>
      </c>
      <c r="F14" s="10">
        <f t="shared" si="0"/>
        <v>4</v>
      </c>
      <c r="G14" s="10">
        <f t="shared" si="1"/>
        <v>1</v>
      </c>
      <c r="H14" s="9">
        <v>2</v>
      </c>
      <c r="I14" s="9"/>
      <c r="J14" s="9">
        <v>1</v>
      </c>
      <c r="K14" s="9"/>
      <c r="L14" s="9"/>
      <c r="M14" s="9"/>
      <c r="N14" s="9">
        <v>1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>
        <v>3</v>
      </c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109</v>
      </c>
      <c r="C15" s="10">
        <f>IF(D15="","",VLOOKUP(D15,データ!A:C,2,FALSE))</f>
        <v>5</v>
      </c>
      <c r="D15" s="7" t="s">
        <v>256</v>
      </c>
      <c r="E15" s="9">
        <v>4</v>
      </c>
      <c r="F15" s="10">
        <f t="shared" si="0"/>
        <v>2</v>
      </c>
      <c r="G15" s="10">
        <f t="shared" si="1"/>
        <v>1</v>
      </c>
      <c r="H15" s="9">
        <v>1</v>
      </c>
      <c r="I15" s="9">
        <v>1</v>
      </c>
      <c r="J15" s="9">
        <v>1</v>
      </c>
      <c r="K15" s="9"/>
      <c r="L15" s="9"/>
      <c r="M15" s="9"/>
      <c r="N15" s="9"/>
      <c r="O15" s="9">
        <v>2</v>
      </c>
      <c r="P15" s="9"/>
      <c r="Q15" s="9">
        <v>1</v>
      </c>
      <c r="R15" s="9">
        <v>2</v>
      </c>
      <c r="S15" s="9"/>
      <c r="T15" s="9"/>
      <c r="U15" s="9"/>
      <c r="V15" s="9"/>
      <c r="W15" s="9"/>
      <c r="X15" s="9"/>
      <c r="Y15" s="9">
        <v>1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107</v>
      </c>
      <c r="C16" s="10">
        <f>IF(D16="","",VLOOKUP(D16,データ!A:C,2,FALSE))</f>
        <v>50</v>
      </c>
      <c r="D16" s="7" t="s">
        <v>243</v>
      </c>
      <c r="E16" s="9">
        <v>4</v>
      </c>
      <c r="F16" s="10">
        <f t="shared" si="0"/>
        <v>4</v>
      </c>
      <c r="G16" s="10">
        <f t="shared" si="1"/>
        <v>0</v>
      </c>
      <c r="H16" s="9">
        <v>1</v>
      </c>
      <c r="I16" s="9"/>
      <c r="J16" s="9"/>
      <c r="K16" s="9"/>
      <c r="L16" s="9"/>
      <c r="M16" s="9"/>
      <c r="N16" s="9"/>
      <c r="O16" s="9"/>
      <c r="P16" s="9"/>
      <c r="Q16" s="9">
        <v>1</v>
      </c>
      <c r="R16" s="9"/>
      <c r="S16" s="9"/>
      <c r="T16" s="9"/>
      <c r="U16" s="9"/>
      <c r="V16" s="9"/>
      <c r="W16" s="9"/>
      <c r="X16" s="9"/>
      <c r="Y16" s="9">
        <v>5</v>
      </c>
      <c r="Z16" s="9">
        <v>1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108</v>
      </c>
      <c r="C17" s="10">
        <f>IF(D17="","",VLOOKUP(D17,データ!A:C,2,FALSE))</f>
        <v>9</v>
      </c>
      <c r="D17" s="7" t="s">
        <v>268</v>
      </c>
      <c r="E17" s="9">
        <v>3</v>
      </c>
      <c r="F17" s="10">
        <f t="shared" si="0"/>
        <v>3</v>
      </c>
      <c r="G17" s="10">
        <f t="shared" si="1"/>
        <v>1</v>
      </c>
      <c r="H17" s="9"/>
      <c r="I17" s="9"/>
      <c r="J17" s="9">
        <v>1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101</v>
      </c>
      <c r="C18" s="10">
        <f>IF(D18="","",VLOOKUP(D18,データ!A:C,2,FALSE))</f>
        <v>33</v>
      </c>
      <c r="D18" s="7" t="s">
        <v>241</v>
      </c>
      <c r="E18" s="9">
        <v>3</v>
      </c>
      <c r="F18" s="10">
        <f t="shared" si="0"/>
        <v>3</v>
      </c>
      <c r="G18" s="10">
        <f t="shared" si="1"/>
        <v>0</v>
      </c>
      <c r="H18" s="9">
        <v>1</v>
      </c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>
        <v>3</v>
      </c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104</v>
      </c>
      <c r="C19" s="10">
        <f>IF(D19="","",VLOOKUP(D19,データ!A:C,2,FALSE))</f>
        <v>51</v>
      </c>
      <c r="D19" s="7" t="s">
        <v>245</v>
      </c>
      <c r="E19" s="9">
        <v>3</v>
      </c>
      <c r="F19" s="10">
        <f t="shared" si="0"/>
        <v>3</v>
      </c>
      <c r="G19" s="10">
        <f t="shared" si="1"/>
        <v>1</v>
      </c>
      <c r="H19" s="9">
        <v>1</v>
      </c>
      <c r="I19" s="9"/>
      <c r="J19" s="9">
        <v>1</v>
      </c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>
        <v>4</v>
      </c>
      <c r="Z19" s="9">
        <v>1</v>
      </c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37</v>
      </c>
      <c r="F30" s="1">
        <f t="shared" si="3"/>
        <v>32</v>
      </c>
      <c r="G30" s="1">
        <f t="shared" si="3"/>
        <v>8</v>
      </c>
      <c r="H30" s="1">
        <f t="shared" si="3"/>
        <v>9</v>
      </c>
      <c r="I30" s="1">
        <f t="shared" si="3"/>
        <v>2</v>
      </c>
      <c r="J30" s="1">
        <f t="shared" si="3"/>
        <v>6</v>
      </c>
      <c r="K30" s="1">
        <f t="shared" si="3"/>
        <v>2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3</v>
      </c>
      <c r="P30" s="1">
        <f t="shared" si="3"/>
        <v>3</v>
      </c>
      <c r="Q30" s="1">
        <f t="shared" si="3"/>
        <v>3</v>
      </c>
      <c r="R30" s="1">
        <f t="shared" si="3"/>
        <v>5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25</v>
      </c>
      <c r="Z30" s="1">
        <f t="shared" si="3"/>
        <v>15</v>
      </c>
      <c r="AA30" s="1">
        <f t="shared" si="3"/>
        <v>4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112</v>
      </c>
      <c r="AM30" s="1">
        <f t="shared" si="4"/>
        <v>4</v>
      </c>
      <c r="AN30" s="1">
        <f t="shared" si="4"/>
        <v>1</v>
      </c>
      <c r="AO30" s="1">
        <f t="shared" si="4"/>
        <v>33</v>
      </c>
      <c r="AP30" s="1">
        <f t="shared" si="4"/>
        <v>3</v>
      </c>
      <c r="AQ30" s="1">
        <f t="shared" si="4"/>
        <v>2</v>
      </c>
      <c r="AR30" s="1">
        <f>SUM(AR10:AR29)</f>
        <v>3</v>
      </c>
      <c r="AS30" s="1">
        <f>SUM(AS10:AS29)</f>
        <v>0</v>
      </c>
      <c r="AT30" s="1">
        <f>SUM(AT10:AT29)</f>
        <v>4</v>
      </c>
      <c r="AU30" s="1">
        <f t="shared" si="4"/>
        <v>0</v>
      </c>
    </row>
    <row r="31" spans="1:47" ht="14.25" x14ac:dyDescent="0.7">
      <c r="D31" s="1">
        <f>G30/F30</f>
        <v>0.25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4</v>
      </c>
      <c r="F41" s="1">
        <f t="shared" si="5"/>
        <v>4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1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3</v>
      </c>
      <c r="Z41" s="1">
        <f t="shared" si="6"/>
        <v>4</v>
      </c>
      <c r="AA41" s="1">
        <f t="shared" si="6"/>
        <v>1</v>
      </c>
      <c r="AD41" s="1">
        <f t="shared" ref="AD41:AS56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si="7"/>
        <v>0</v>
      </c>
      <c r="AO41" s="1">
        <f t="shared" si="7"/>
        <v>0</v>
      </c>
      <c r="AP41" s="1">
        <f t="shared" si="7"/>
        <v>0</v>
      </c>
      <c r="AQ41" s="1">
        <f t="shared" si="7"/>
        <v>0</v>
      </c>
      <c r="AR41" s="1">
        <f t="shared" si="7"/>
        <v>0</v>
      </c>
      <c r="AS41" s="1">
        <f t="shared" si="7"/>
        <v>0</v>
      </c>
      <c r="AT41" s="1">
        <f t="shared" ref="AT41:AU56" si="8">IFERROR(VLOOKUP($D41,$AC$10:$AU$29,AT$71,FALSE),0)</f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7"/>
        <v>0</v>
      </c>
      <c r="AO42" s="1">
        <f t="shared" si="7"/>
        <v>0</v>
      </c>
      <c r="AP42" s="1">
        <f t="shared" si="7"/>
        <v>0</v>
      </c>
      <c r="AQ42" s="1">
        <f t="shared" si="7"/>
        <v>0</v>
      </c>
      <c r="AR42" s="1">
        <f t="shared" si="7"/>
        <v>0</v>
      </c>
      <c r="AS42" s="1">
        <f t="shared" si="7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4</v>
      </c>
      <c r="F43" s="1">
        <f t="shared" si="5"/>
        <v>2</v>
      </c>
      <c r="G43" s="1">
        <f t="shared" si="5"/>
        <v>1</v>
      </c>
      <c r="H43" s="1">
        <f t="shared" si="5"/>
        <v>1</v>
      </c>
      <c r="I43" s="1">
        <f t="shared" si="5"/>
        <v>1</v>
      </c>
      <c r="J43" s="1">
        <f t="shared" si="5"/>
        <v>1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2</v>
      </c>
      <c r="P43" s="1">
        <f t="shared" si="5"/>
        <v>0</v>
      </c>
      <c r="Q43" s="1">
        <f t="shared" si="5"/>
        <v>1</v>
      </c>
      <c r="R43" s="1">
        <f t="shared" si="5"/>
        <v>2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7"/>
        <v>0</v>
      </c>
      <c r="AO43" s="1">
        <f t="shared" si="7"/>
        <v>0</v>
      </c>
      <c r="AP43" s="1">
        <f t="shared" si="7"/>
        <v>0</v>
      </c>
      <c r="AQ43" s="1">
        <f t="shared" si="7"/>
        <v>0</v>
      </c>
      <c r="AR43" s="1">
        <f t="shared" si="7"/>
        <v>0</v>
      </c>
      <c r="AS43" s="1">
        <f t="shared" si="7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7"/>
        <v>0</v>
      </c>
      <c r="AO44" s="1">
        <f t="shared" si="7"/>
        <v>0</v>
      </c>
      <c r="AP44" s="1">
        <f t="shared" si="7"/>
        <v>0</v>
      </c>
      <c r="AQ44" s="1">
        <f t="shared" si="7"/>
        <v>0</v>
      </c>
      <c r="AR44" s="1">
        <f t="shared" si="7"/>
        <v>0</v>
      </c>
      <c r="AS44" s="1">
        <f t="shared" si="7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7"/>
        <v>0</v>
      </c>
      <c r="AO45" s="1">
        <f t="shared" si="7"/>
        <v>0</v>
      </c>
      <c r="AP45" s="1">
        <f t="shared" si="7"/>
        <v>0</v>
      </c>
      <c r="AQ45" s="1">
        <f t="shared" si="7"/>
        <v>0</v>
      </c>
      <c r="AR45" s="1">
        <f t="shared" si="7"/>
        <v>0</v>
      </c>
      <c r="AS45" s="1">
        <f t="shared" si="7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3</v>
      </c>
      <c r="F46" s="1">
        <f t="shared" si="5"/>
        <v>3</v>
      </c>
      <c r="G46" s="1">
        <f t="shared" si="5"/>
        <v>1</v>
      </c>
      <c r="H46" s="1">
        <f t="shared" si="5"/>
        <v>0</v>
      </c>
      <c r="I46" s="1">
        <f t="shared" si="5"/>
        <v>0</v>
      </c>
      <c r="J46" s="1">
        <f t="shared" si="5"/>
        <v>1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7"/>
        <v>0</v>
      </c>
      <c r="AO46" s="1">
        <f t="shared" si="7"/>
        <v>0</v>
      </c>
      <c r="AP46" s="1">
        <f t="shared" si="7"/>
        <v>0</v>
      </c>
      <c r="AQ46" s="1">
        <f t="shared" si="7"/>
        <v>0</v>
      </c>
      <c r="AR46" s="1">
        <f t="shared" si="7"/>
        <v>0</v>
      </c>
      <c r="AS46" s="1">
        <f t="shared" si="7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7"/>
        <v>0</v>
      </c>
      <c r="AO47" s="1">
        <f t="shared" si="7"/>
        <v>0</v>
      </c>
      <c r="AP47" s="1">
        <f t="shared" si="7"/>
        <v>0</v>
      </c>
      <c r="AQ47" s="1">
        <f t="shared" si="7"/>
        <v>0</v>
      </c>
      <c r="AR47" s="1">
        <f t="shared" si="7"/>
        <v>0</v>
      </c>
      <c r="AS47" s="1">
        <f t="shared" si="7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7"/>
        <v>0</v>
      </c>
      <c r="AO48" s="1">
        <f t="shared" si="7"/>
        <v>0</v>
      </c>
      <c r="AP48" s="1">
        <f t="shared" si="7"/>
        <v>0</v>
      </c>
      <c r="AQ48" s="1">
        <f t="shared" si="7"/>
        <v>0</v>
      </c>
      <c r="AR48" s="1">
        <f t="shared" si="7"/>
        <v>0</v>
      </c>
      <c r="AS48" s="1">
        <f t="shared" si="7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7"/>
        <v>0</v>
      </c>
      <c r="AO49" s="1">
        <f t="shared" si="7"/>
        <v>0</v>
      </c>
      <c r="AP49" s="1">
        <f t="shared" si="7"/>
        <v>0</v>
      </c>
      <c r="AQ49" s="1">
        <f t="shared" si="7"/>
        <v>0</v>
      </c>
      <c r="AR49" s="1">
        <f t="shared" si="7"/>
        <v>0</v>
      </c>
      <c r="AS49" s="1">
        <f t="shared" si="7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4</v>
      </c>
      <c r="F50" s="1">
        <f t="shared" si="5"/>
        <v>2</v>
      </c>
      <c r="G50" s="1">
        <f t="shared" si="5"/>
        <v>1</v>
      </c>
      <c r="H50" s="1">
        <f t="shared" si="5"/>
        <v>1</v>
      </c>
      <c r="I50" s="1">
        <f t="shared" si="5"/>
        <v>0</v>
      </c>
      <c r="J50" s="1">
        <f t="shared" si="5"/>
        <v>1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1</v>
      </c>
      <c r="Q50" s="1">
        <f t="shared" si="5"/>
        <v>0</v>
      </c>
      <c r="R50" s="1">
        <f t="shared" si="5"/>
        <v>2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8</v>
      </c>
      <c r="Z50" s="1">
        <f t="shared" si="6"/>
        <v>1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7"/>
        <v>0</v>
      </c>
      <c r="AO50" s="1">
        <f t="shared" si="7"/>
        <v>0</v>
      </c>
      <c r="AP50" s="1">
        <f t="shared" si="7"/>
        <v>0</v>
      </c>
      <c r="AQ50" s="1">
        <f t="shared" si="7"/>
        <v>0</v>
      </c>
      <c r="AR50" s="1">
        <f t="shared" si="7"/>
        <v>0</v>
      </c>
      <c r="AS50" s="1">
        <f t="shared" si="7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3</v>
      </c>
      <c r="G53" s="1">
        <f t="shared" si="5"/>
        <v>2</v>
      </c>
      <c r="H53" s="1">
        <f t="shared" si="5"/>
        <v>2</v>
      </c>
      <c r="I53" s="1">
        <f t="shared" si="5"/>
        <v>1</v>
      </c>
      <c r="J53" s="1">
        <f t="shared" si="5"/>
        <v>0</v>
      </c>
      <c r="K53" s="1">
        <f t="shared" si="5"/>
        <v>2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1</v>
      </c>
      <c r="P53" s="1">
        <f t="shared" si="5"/>
        <v>1</v>
      </c>
      <c r="Q53" s="1">
        <f t="shared" si="5"/>
        <v>0</v>
      </c>
      <c r="R53" s="1">
        <f t="shared" si="5"/>
        <v>1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4</v>
      </c>
      <c r="Z53" s="1">
        <f t="shared" si="6"/>
        <v>1</v>
      </c>
      <c r="AA53" s="1">
        <f t="shared" si="6"/>
        <v>2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0</v>
      </c>
      <c r="H56" s="1">
        <f t="shared" si="5"/>
        <v>1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0</v>
      </c>
      <c r="Z56" s="1">
        <f t="shared" si="6"/>
        <v>3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1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7</v>
      </c>
      <c r="AK56" s="1">
        <f t="shared" si="7"/>
        <v>0</v>
      </c>
      <c r="AL56" s="1">
        <f t="shared" si="7"/>
        <v>112</v>
      </c>
      <c r="AM56" s="1">
        <f t="shared" si="7"/>
        <v>4</v>
      </c>
      <c r="AN56" s="1">
        <f t="shared" si="7"/>
        <v>1</v>
      </c>
      <c r="AO56" s="1">
        <f t="shared" si="7"/>
        <v>33</v>
      </c>
      <c r="AP56" s="1">
        <f t="shared" si="7"/>
        <v>3</v>
      </c>
      <c r="AQ56" s="1">
        <f t="shared" si="7"/>
        <v>2</v>
      </c>
      <c r="AR56" s="1">
        <f t="shared" si="7"/>
        <v>3</v>
      </c>
      <c r="AS56" s="1">
        <f t="shared" ref="AS56" si="10">IFERROR(VLOOKUP($D56,$AC$10:$AU$29,AS$71,FALSE),0)</f>
        <v>0</v>
      </c>
      <c r="AT56" s="1">
        <f t="shared" si="8"/>
        <v>4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1">IFERROR(VLOOKUP($D57,$D$10:$AA$29,E$71,FALSE),0)</f>
        <v>4</v>
      </c>
      <c r="F57" s="1">
        <f t="shared" si="11"/>
        <v>4</v>
      </c>
      <c r="G57" s="1">
        <f t="shared" si="11"/>
        <v>1</v>
      </c>
      <c r="H57" s="1">
        <f t="shared" si="11"/>
        <v>2</v>
      </c>
      <c r="I57" s="1">
        <f t="shared" si="11"/>
        <v>0</v>
      </c>
      <c r="J57" s="1">
        <f t="shared" si="11"/>
        <v>1</v>
      </c>
      <c r="K57" s="1">
        <f t="shared" si="11"/>
        <v>0</v>
      </c>
      <c r="L57" s="1">
        <f t="shared" si="11"/>
        <v>0</v>
      </c>
      <c r="M57" s="1">
        <f t="shared" si="11"/>
        <v>0</v>
      </c>
      <c r="N57" s="1">
        <f t="shared" si="11"/>
        <v>1</v>
      </c>
      <c r="O57" s="1">
        <f t="shared" si="11"/>
        <v>0</v>
      </c>
      <c r="P57" s="1">
        <f t="shared" si="11"/>
        <v>0</v>
      </c>
      <c r="Q57" s="1">
        <f t="shared" si="11"/>
        <v>0</v>
      </c>
      <c r="R57" s="1">
        <f t="shared" si="11"/>
        <v>0</v>
      </c>
      <c r="S57" s="1">
        <f t="shared" si="11"/>
        <v>0</v>
      </c>
      <c r="T57" s="1">
        <f t="shared" si="11"/>
        <v>0</v>
      </c>
      <c r="U57" s="1">
        <f t="shared" ref="U57:AA70" si="12">IFERROR(VLOOKUP($D57,$D$10:$AA$29,U$71,FALSE),0)</f>
        <v>0</v>
      </c>
      <c r="V57" s="1">
        <f t="shared" si="12"/>
        <v>0</v>
      </c>
      <c r="W57" s="1">
        <f t="shared" si="12"/>
        <v>0</v>
      </c>
      <c r="X57" s="1">
        <f t="shared" si="12"/>
        <v>0</v>
      </c>
      <c r="Y57" s="1">
        <f t="shared" si="12"/>
        <v>0</v>
      </c>
      <c r="Z57" s="1">
        <f t="shared" si="12"/>
        <v>3</v>
      </c>
      <c r="AA57" s="1">
        <f t="shared" si="12"/>
        <v>1</v>
      </c>
      <c r="AD57" s="1">
        <f t="shared" ref="AD57:AS70" si="13">IFERROR(VLOOKUP($D57,$AC$10:$AU$29,AD$71,FALSE),0)</f>
        <v>0</v>
      </c>
      <c r="AE57" s="1">
        <f t="shared" si="13"/>
        <v>0</v>
      </c>
      <c r="AF57" s="1">
        <f t="shared" si="13"/>
        <v>0</v>
      </c>
      <c r="AG57" s="1">
        <f t="shared" si="13"/>
        <v>0</v>
      </c>
      <c r="AH57" s="1">
        <f t="shared" si="13"/>
        <v>0</v>
      </c>
      <c r="AI57" s="1">
        <f t="shared" si="13"/>
        <v>0</v>
      </c>
      <c r="AJ57" s="1">
        <f t="shared" si="13"/>
        <v>0</v>
      </c>
      <c r="AK57" s="1">
        <f t="shared" si="13"/>
        <v>0</v>
      </c>
      <c r="AL57" s="1">
        <f t="shared" si="13"/>
        <v>0</v>
      </c>
      <c r="AM57" s="1">
        <f t="shared" si="13"/>
        <v>0</v>
      </c>
      <c r="AN57" s="1">
        <f t="shared" si="13"/>
        <v>0</v>
      </c>
      <c r="AO57" s="1">
        <f t="shared" si="13"/>
        <v>0</v>
      </c>
      <c r="AP57" s="1">
        <f t="shared" si="13"/>
        <v>0</v>
      </c>
      <c r="AQ57" s="1">
        <f t="shared" si="13"/>
        <v>0</v>
      </c>
      <c r="AR57" s="1">
        <f t="shared" si="13"/>
        <v>0</v>
      </c>
      <c r="AS57" s="1">
        <f t="shared" si="13"/>
        <v>0</v>
      </c>
      <c r="AT57" s="1">
        <f t="shared" ref="AN57:AU70" si="14">IFERROR(VLOOKUP($D57,$AC$10:$AU$29,AT$71,FALSE),0)</f>
        <v>0</v>
      </c>
      <c r="AU57" s="1">
        <f t="shared" si="14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1"/>
        <v>0</v>
      </c>
      <c r="F58" s="1">
        <f t="shared" si="11"/>
        <v>0</v>
      </c>
      <c r="G58" s="1">
        <f t="shared" si="11"/>
        <v>0</v>
      </c>
      <c r="H58" s="1">
        <f t="shared" si="11"/>
        <v>0</v>
      </c>
      <c r="I58" s="1">
        <f t="shared" si="11"/>
        <v>0</v>
      </c>
      <c r="J58" s="1">
        <f t="shared" si="11"/>
        <v>0</v>
      </c>
      <c r="K58" s="1">
        <f t="shared" si="11"/>
        <v>0</v>
      </c>
      <c r="L58" s="1">
        <f t="shared" si="11"/>
        <v>0</v>
      </c>
      <c r="M58" s="1">
        <f t="shared" si="11"/>
        <v>0</v>
      </c>
      <c r="N58" s="1">
        <f t="shared" si="11"/>
        <v>0</v>
      </c>
      <c r="O58" s="1">
        <f t="shared" si="11"/>
        <v>0</v>
      </c>
      <c r="P58" s="1">
        <f t="shared" si="11"/>
        <v>0</v>
      </c>
      <c r="Q58" s="1">
        <f t="shared" si="11"/>
        <v>0</v>
      </c>
      <c r="R58" s="1">
        <f t="shared" si="11"/>
        <v>0</v>
      </c>
      <c r="S58" s="1">
        <f t="shared" si="11"/>
        <v>0</v>
      </c>
      <c r="T58" s="1">
        <f t="shared" si="11"/>
        <v>0</v>
      </c>
      <c r="U58" s="1">
        <f t="shared" si="12"/>
        <v>0</v>
      </c>
      <c r="V58" s="1">
        <f t="shared" si="12"/>
        <v>0</v>
      </c>
      <c r="W58" s="1">
        <f t="shared" si="12"/>
        <v>0</v>
      </c>
      <c r="X58" s="1">
        <f t="shared" si="12"/>
        <v>0</v>
      </c>
      <c r="Y58" s="1">
        <f t="shared" si="12"/>
        <v>0</v>
      </c>
      <c r="Z58" s="1">
        <f t="shared" si="12"/>
        <v>0</v>
      </c>
      <c r="AA58" s="1">
        <f t="shared" si="12"/>
        <v>0</v>
      </c>
      <c r="AD58" s="1">
        <f t="shared" si="13"/>
        <v>0</v>
      </c>
      <c r="AE58" s="1">
        <f t="shared" si="13"/>
        <v>0</v>
      </c>
      <c r="AF58" s="1">
        <f t="shared" si="13"/>
        <v>0</v>
      </c>
      <c r="AG58" s="1">
        <f t="shared" si="13"/>
        <v>0</v>
      </c>
      <c r="AH58" s="1">
        <f t="shared" si="13"/>
        <v>0</v>
      </c>
      <c r="AI58" s="1">
        <f t="shared" si="13"/>
        <v>0</v>
      </c>
      <c r="AJ58" s="1">
        <f t="shared" si="13"/>
        <v>0</v>
      </c>
      <c r="AK58" s="1">
        <f t="shared" si="13"/>
        <v>0</v>
      </c>
      <c r="AL58" s="1">
        <f t="shared" si="13"/>
        <v>0</v>
      </c>
      <c r="AM58" s="1">
        <f t="shared" si="13"/>
        <v>0</v>
      </c>
      <c r="AN58" s="1">
        <f t="shared" si="13"/>
        <v>0</v>
      </c>
      <c r="AO58" s="1">
        <f t="shared" si="13"/>
        <v>0</v>
      </c>
      <c r="AP58" s="1">
        <f t="shared" si="13"/>
        <v>0</v>
      </c>
      <c r="AQ58" s="1">
        <f t="shared" si="13"/>
        <v>0</v>
      </c>
      <c r="AR58" s="1">
        <f t="shared" si="13"/>
        <v>0</v>
      </c>
      <c r="AS58" s="1">
        <f t="shared" si="13"/>
        <v>0</v>
      </c>
      <c r="AT58" s="1">
        <f t="shared" si="14"/>
        <v>0</v>
      </c>
      <c r="AU58" s="1">
        <f t="shared" si="14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1"/>
        <v>4</v>
      </c>
      <c r="F59" s="1">
        <f t="shared" si="11"/>
        <v>4</v>
      </c>
      <c r="G59" s="1">
        <f t="shared" si="11"/>
        <v>0</v>
      </c>
      <c r="H59" s="1">
        <f t="shared" si="11"/>
        <v>1</v>
      </c>
      <c r="I59" s="1">
        <f t="shared" si="11"/>
        <v>0</v>
      </c>
      <c r="J59" s="1">
        <f t="shared" si="11"/>
        <v>0</v>
      </c>
      <c r="K59" s="1">
        <f t="shared" si="11"/>
        <v>0</v>
      </c>
      <c r="L59" s="1">
        <f t="shared" si="11"/>
        <v>0</v>
      </c>
      <c r="M59" s="1">
        <f t="shared" si="11"/>
        <v>0</v>
      </c>
      <c r="N59" s="1">
        <f t="shared" si="11"/>
        <v>0</v>
      </c>
      <c r="O59" s="1">
        <f t="shared" si="11"/>
        <v>0</v>
      </c>
      <c r="P59" s="1">
        <f t="shared" si="11"/>
        <v>0</v>
      </c>
      <c r="Q59" s="1">
        <f t="shared" si="11"/>
        <v>1</v>
      </c>
      <c r="R59" s="1">
        <f t="shared" si="11"/>
        <v>0</v>
      </c>
      <c r="S59" s="1">
        <f t="shared" si="11"/>
        <v>0</v>
      </c>
      <c r="T59" s="1">
        <f t="shared" si="11"/>
        <v>0</v>
      </c>
      <c r="U59" s="1">
        <f t="shared" si="12"/>
        <v>0</v>
      </c>
      <c r="V59" s="1">
        <f t="shared" si="12"/>
        <v>0</v>
      </c>
      <c r="W59" s="1">
        <f t="shared" si="12"/>
        <v>0</v>
      </c>
      <c r="X59" s="1">
        <f t="shared" si="12"/>
        <v>0</v>
      </c>
      <c r="Y59" s="1">
        <f t="shared" si="12"/>
        <v>5</v>
      </c>
      <c r="Z59" s="1">
        <f t="shared" si="12"/>
        <v>1</v>
      </c>
      <c r="AA59" s="1">
        <f t="shared" si="12"/>
        <v>0</v>
      </c>
      <c r="AD59" s="1">
        <f t="shared" si="13"/>
        <v>0</v>
      </c>
      <c r="AE59" s="1">
        <f t="shared" si="13"/>
        <v>0</v>
      </c>
      <c r="AF59" s="1">
        <f t="shared" si="13"/>
        <v>0</v>
      </c>
      <c r="AG59" s="1">
        <f t="shared" si="13"/>
        <v>0</v>
      </c>
      <c r="AH59" s="1">
        <f t="shared" si="13"/>
        <v>0</v>
      </c>
      <c r="AI59" s="1">
        <f t="shared" si="13"/>
        <v>0</v>
      </c>
      <c r="AJ59" s="1">
        <f t="shared" si="13"/>
        <v>0</v>
      </c>
      <c r="AK59" s="1">
        <f t="shared" si="13"/>
        <v>0</v>
      </c>
      <c r="AL59" s="1">
        <f t="shared" si="13"/>
        <v>0</v>
      </c>
      <c r="AM59" s="1">
        <f t="shared" si="13"/>
        <v>0</v>
      </c>
      <c r="AN59" s="1">
        <f t="shared" si="13"/>
        <v>0</v>
      </c>
      <c r="AO59" s="1">
        <f t="shared" si="13"/>
        <v>0</v>
      </c>
      <c r="AP59" s="1">
        <f t="shared" si="13"/>
        <v>0</v>
      </c>
      <c r="AQ59" s="1">
        <f t="shared" si="13"/>
        <v>0</v>
      </c>
      <c r="AR59" s="1">
        <f t="shared" si="13"/>
        <v>0</v>
      </c>
      <c r="AS59" s="1">
        <f t="shared" si="13"/>
        <v>0</v>
      </c>
      <c r="AT59" s="1">
        <f t="shared" si="14"/>
        <v>0</v>
      </c>
      <c r="AU59" s="1">
        <f t="shared" si="14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1"/>
        <v>3</v>
      </c>
      <c r="F60" s="1">
        <f t="shared" si="11"/>
        <v>3</v>
      </c>
      <c r="G60" s="1">
        <f t="shared" si="11"/>
        <v>1</v>
      </c>
      <c r="H60" s="1">
        <f t="shared" si="11"/>
        <v>1</v>
      </c>
      <c r="I60" s="1">
        <f t="shared" si="11"/>
        <v>0</v>
      </c>
      <c r="J60" s="1">
        <f t="shared" si="11"/>
        <v>1</v>
      </c>
      <c r="K60" s="1">
        <f t="shared" si="11"/>
        <v>0</v>
      </c>
      <c r="L60" s="1">
        <f t="shared" si="11"/>
        <v>0</v>
      </c>
      <c r="M60" s="1">
        <f t="shared" si="11"/>
        <v>0</v>
      </c>
      <c r="N60" s="1">
        <f t="shared" si="11"/>
        <v>0</v>
      </c>
      <c r="O60" s="1">
        <f t="shared" si="11"/>
        <v>0</v>
      </c>
      <c r="P60" s="1">
        <f t="shared" si="11"/>
        <v>0</v>
      </c>
      <c r="Q60" s="1">
        <f t="shared" si="11"/>
        <v>1</v>
      </c>
      <c r="R60" s="1">
        <f t="shared" si="11"/>
        <v>0</v>
      </c>
      <c r="S60" s="1">
        <f t="shared" si="11"/>
        <v>0</v>
      </c>
      <c r="T60" s="1">
        <f t="shared" si="11"/>
        <v>0</v>
      </c>
      <c r="U60" s="1">
        <f t="shared" si="12"/>
        <v>0</v>
      </c>
      <c r="V60" s="1">
        <f t="shared" si="12"/>
        <v>0</v>
      </c>
      <c r="W60" s="1">
        <f t="shared" si="12"/>
        <v>0</v>
      </c>
      <c r="X60" s="1">
        <f t="shared" si="12"/>
        <v>0</v>
      </c>
      <c r="Y60" s="1">
        <f t="shared" si="12"/>
        <v>4</v>
      </c>
      <c r="Z60" s="1">
        <f t="shared" si="12"/>
        <v>1</v>
      </c>
      <c r="AA60" s="1">
        <f t="shared" si="12"/>
        <v>0</v>
      </c>
      <c r="AD60" s="1">
        <f t="shared" si="13"/>
        <v>0</v>
      </c>
      <c r="AE60" s="1">
        <f t="shared" si="13"/>
        <v>0</v>
      </c>
      <c r="AF60" s="1">
        <f t="shared" si="13"/>
        <v>0</v>
      </c>
      <c r="AG60" s="1">
        <f t="shared" si="13"/>
        <v>0</v>
      </c>
      <c r="AH60" s="1">
        <f t="shared" si="13"/>
        <v>0</v>
      </c>
      <c r="AI60" s="1">
        <f t="shared" si="13"/>
        <v>0</v>
      </c>
      <c r="AJ60" s="1">
        <f t="shared" si="13"/>
        <v>0</v>
      </c>
      <c r="AK60" s="1">
        <f t="shared" si="13"/>
        <v>0</v>
      </c>
      <c r="AL60" s="1">
        <f t="shared" si="13"/>
        <v>0</v>
      </c>
      <c r="AM60" s="1">
        <f t="shared" si="13"/>
        <v>0</v>
      </c>
      <c r="AN60" s="1">
        <f t="shared" si="13"/>
        <v>0</v>
      </c>
      <c r="AO60" s="1">
        <f t="shared" si="13"/>
        <v>0</v>
      </c>
      <c r="AP60" s="1">
        <f t="shared" si="13"/>
        <v>0</v>
      </c>
      <c r="AQ60" s="1">
        <f t="shared" si="13"/>
        <v>0</v>
      </c>
      <c r="AR60" s="1">
        <f t="shared" si="13"/>
        <v>0</v>
      </c>
      <c r="AS60" s="1">
        <f t="shared" si="13"/>
        <v>0</v>
      </c>
      <c r="AT60" s="1">
        <f t="shared" si="14"/>
        <v>0</v>
      </c>
      <c r="AU60" s="1">
        <f t="shared" si="14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1"/>
        <v>4</v>
      </c>
      <c r="F61" s="1">
        <f t="shared" si="11"/>
        <v>4</v>
      </c>
      <c r="G61" s="1">
        <f t="shared" si="11"/>
        <v>1</v>
      </c>
      <c r="H61" s="1">
        <f t="shared" si="11"/>
        <v>0</v>
      </c>
      <c r="I61" s="1">
        <f t="shared" si="11"/>
        <v>0</v>
      </c>
      <c r="J61" s="1">
        <f t="shared" si="11"/>
        <v>1</v>
      </c>
      <c r="K61" s="1">
        <f t="shared" si="11"/>
        <v>0</v>
      </c>
      <c r="L61" s="1">
        <f t="shared" si="11"/>
        <v>0</v>
      </c>
      <c r="M61" s="1">
        <f t="shared" si="11"/>
        <v>0</v>
      </c>
      <c r="N61" s="1">
        <f t="shared" si="11"/>
        <v>0</v>
      </c>
      <c r="O61" s="1">
        <f t="shared" si="11"/>
        <v>0</v>
      </c>
      <c r="P61" s="1">
        <f t="shared" si="11"/>
        <v>1</v>
      </c>
      <c r="Q61" s="1">
        <f t="shared" si="11"/>
        <v>0</v>
      </c>
      <c r="R61" s="1">
        <f t="shared" si="11"/>
        <v>0</v>
      </c>
      <c r="S61" s="1">
        <f t="shared" si="11"/>
        <v>0</v>
      </c>
      <c r="T61" s="1">
        <f t="shared" si="11"/>
        <v>0</v>
      </c>
      <c r="U61" s="1">
        <f t="shared" si="12"/>
        <v>0</v>
      </c>
      <c r="V61" s="1">
        <f t="shared" si="12"/>
        <v>0</v>
      </c>
      <c r="W61" s="1">
        <f t="shared" si="12"/>
        <v>0</v>
      </c>
      <c r="X61" s="1">
        <f t="shared" si="12"/>
        <v>0</v>
      </c>
      <c r="Y61" s="1">
        <f t="shared" si="12"/>
        <v>0</v>
      </c>
      <c r="Z61" s="1">
        <f t="shared" si="12"/>
        <v>1</v>
      </c>
      <c r="AA61" s="1">
        <f t="shared" si="12"/>
        <v>0</v>
      </c>
      <c r="AD61" s="1">
        <f t="shared" si="13"/>
        <v>0</v>
      </c>
      <c r="AE61" s="1">
        <f t="shared" si="13"/>
        <v>0</v>
      </c>
      <c r="AF61" s="1">
        <f t="shared" si="13"/>
        <v>0</v>
      </c>
      <c r="AG61" s="1">
        <f t="shared" si="13"/>
        <v>0</v>
      </c>
      <c r="AH61" s="1">
        <f t="shared" si="13"/>
        <v>0</v>
      </c>
      <c r="AI61" s="1">
        <f t="shared" si="13"/>
        <v>0</v>
      </c>
      <c r="AJ61" s="1">
        <f t="shared" si="13"/>
        <v>0</v>
      </c>
      <c r="AK61" s="1">
        <f t="shared" si="13"/>
        <v>0</v>
      </c>
      <c r="AL61" s="1">
        <f t="shared" si="13"/>
        <v>0</v>
      </c>
      <c r="AM61" s="1">
        <f t="shared" si="13"/>
        <v>0</v>
      </c>
      <c r="AN61" s="1">
        <f t="shared" si="13"/>
        <v>0</v>
      </c>
      <c r="AO61" s="1">
        <f t="shared" si="13"/>
        <v>0</v>
      </c>
      <c r="AP61" s="1">
        <f t="shared" si="13"/>
        <v>0</v>
      </c>
      <c r="AQ61" s="1">
        <f t="shared" si="13"/>
        <v>0</v>
      </c>
      <c r="AR61" s="1">
        <f t="shared" si="13"/>
        <v>0</v>
      </c>
      <c r="AS61" s="1">
        <f t="shared" si="13"/>
        <v>0</v>
      </c>
      <c r="AT61" s="1">
        <f t="shared" si="14"/>
        <v>0</v>
      </c>
      <c r="AU61" s="1">
        <f t="shared" si="14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1"/>
        <v>0</v>
      </c>
      <c r="F62" s="1">
        <f t="shared" si="11"/>
        <v>0</v>
      </c>
      <c r="G62" s="1">
        <f t="shared" si="11"/>
        <v>0</v>
      </c>
      <c r="H62" s="1">
        <f t="shared" si="11"/>
        <v>0</v>
      </c>
      <c r="I62" s="1">
        <f t="shared" si="11"/>
        <v>0</v>
      </c>
      <c r="J62" s="1">
        <f t="shared" si="11"/>
        <v>0</v>
      </c>
      <c r="K62" s="1">
        <f t="shared" si="11"/>
        <v>0</v>
      </c>
      <c r="L62" s="1">
        <f t="shared" si="11"/>
        <v>0</v>
      </c>
      <c r="M62" s="1">
        <f t="shared" si="11"/>
        <v>0</v>
      </c>
      <c r="N62" s="1">
        <f t="shared" si="11"/>
        <v>0</v>
      </c>
      <c r="O62" s="1">
        <f t="shared" si="11"/>
        <v>0</v>
      </c>
      <c r="P62" s="1">
        <f t="shared" si="11"/>
        <v>0</v>
      </c>
      <c r="Q62" s="1">
        <f t="shared" si="11"/>
        <v>0</v>
      </c>
      <c r="R62" s="1">
        <f t="shared" si="11"/>
        <v>0</v>
      </c>
      <c r="S62" s="1">
        <f t="shared" si="11"/>
        <v>0</v>
      </c>
      <c r="T62" s="1">
        <f t="shared" si="11"/>
        <v>0</v>
      </c>
      <c r="U62" s="1">
        <f t="shared" si="12"/>
        <v>0</v>
      </c>
      <c r="V62" s="1">
        <f t="shared" si="12"/>
        <v>0</v>
      </c>
      <c r="W62" s="1">
        <f t="shared" si="12"/>
        <v>0</v>
      </c>
      <c r="X62" s="1">
        <f t="shared" si="12"/>
        <v>0</v>
      </c>
      <c r="Y62" s="1">
        <f t="shared" si="12"/>
        <v>0</v>
      </c>
      <c r="Z62" s="1">
        <f t="shared" si="12"/>
        <v>0</v>
      </c>
      <c r="AA62" s="1">
        <f t="shared" si="12"/>
        <v>0</v>
      </c>
      <c r="AD62" s="1">
        <f t="shared" si="13"/>
        <v>0</v>
      </c>
      <c r="AE62" s="1">
        <f t="shared" si="13"/>
        <v>0</v>
      </c>
      <c r="AF62" s="1">
        <f t="shared" si="13"/>
        <v>0</v>
      </c>
      <c r="AG62" s="1">
        <f t="shared" si="13"/>
        <v>0</v>
      </c>
      <c r="AH62" s="1">
        <f t="shared" si="13"/>
        <v>0</v>
      </c>
      <c r="AI62" s="1">
        <f t="shared" si="13"/>
        <v>0</v>
      </c>
      <c r="AJ62" s="1">
        <f t="shared" si="13"/>
        <v>0</v>
      </c>
      <c r="AK62" s="1">
        <f t="shared" si="13"/>
        <v>0</v>
      </c>
      <c r="AL62" s="1">
        <f t="shared" si="13"/>
        <v>0</v>
      </c>
      <c r="AM62" s="1">
        <f t="shared" si="13"/>
        <v>0</v>
      </c>
      <c r="AN62" s="1">
        <f t="shared" si="13"/>
        <v>0</v>
      </c>
      <c r="AO62" s="1">
        <f t="shared" si="13"/>
        <v>0</v>
      </c>
      <c r="AP62" s="1">
        <f t="shared" si="13"/>
        <v>0</v>
      </c>
      <c r="AQ62" s="1">
        <f t="shared" si="13"/>
        <v>0</v>
      </c>
      <c r="AR62" s="1">
        <f t="shared" si="13"/>
        <v>0</v>
      </c>
      <c r="AS62" s="1">
        <f t="shared" si="13"/>
        <v>0</v>
      </c>
      <c r="AT62" s="1">
        <f t="shared" si="14"/>
        <v>0</v>
      </c>
      <c r="AU62" s="1">
        <f t="shared" si="14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1"/>
        <v>0</v>
      </c>
      <c r="F63" s="1">
        <f t="shared" si="11"/>
        <v>0</v>
      </c>
      <c r="G63" s="1">
        <f t="shared" si="11"/>
        <v>0</v>
      </c>
      <c r="H63" s="1">
        <f t="shared" si="11"/>
        <v>0</v>
      </c>
      <c r="I63" s="1">
        <f t="shared" si="11"/>
        <v>0</v>
      </c>
      <c r="J63" s="1">
        <f t="shared" si="11"/>
        <v>0</v>
      </c>
      <c r="K63" s="1">
        <f t="shared" si="11"/>
        <v>0</v>
      </c>
      <c r="L63" s="1">
        <f t="shared" si="11"/>
        <v>0</v>
      </c>
      <c r="M63" s="1">
        <f t="shared" si="11"/>
        <v>0</v>
      </c>
      <c r="N63" s="1">
        <f t="shared" si="11"/>
        <v>0</v>
      </c>
      <c r="O63" s="1">
        <f t="shared" si="11"/>
        <v>0</v>
      </c>
      <c r="P63" s="1">
        <f t="shared" si="11"/>
        <v>0</v>
      </c>
      <c r="Q63" s="1">
        <f t="shared" si="11"/>
        <v>0</v>
      </c>
      <c r="R63" s="1">
        <f t="shared" si="11"/>
        <v>0</v>
      </c>
      <c r="S63" s="1">
        <f t="shared" si="11"/>
        <v>0</v>
      </c>
      <c r="T63" s="1">
        <f t="shared" si="11"/>
        <v>0</v>
      </c>
      <c r="U63" s="1">
        <f t="shared" si="12"/>
        <v>0</v>
      </c>
      <c r="V63" s="1">
        <f t="shared" si="12"/>
        <v>0</v>
      </c>
      <c r="W63" s="1">
        <f t="shared" si="12"/>
        <v>0</v>
      </c>
      <c r="X63" s="1">
        <f t="shared" si="12"/>
        <v>0</v>
      </c>
      <c r="Y63" s="1">
        <f t="shared" si="12"/>
        <v>0</v>
      </c>
      <c r="Z63" s="1">
        <f t="shared" si="12"/>
        <v>0</v>
      </c>
      <c r="AA63" s="1">
        <f t="shared" si="12"/>
        <v>0</v>
      </c>
      <c r="AD63" s="1">
        <f t="shared" si="13"/>
        <v>0</v>
      </c>
      <c r="AE63" s="1">
        <f t="shared" si="13"/>
        <v>0</v>
      </c>
      <c r="AF63" s="1">
        <f t="shared" si="13"/>
        <v>0</v>
      </c>
      <c r="AG63" s="1">
        <f t="shared" si="13"/>
        <v>0</v>
      </c>
      <c r="AH63" s="1">
        <f t="shared" si="13"/>
        <v>0</v>
      </c>
      <c r="AI63" s="1">
        <f t="shared" si="13"/>
        <v>0</v>
      </c>
      <c r="AJ63" s="1">
        <f t="shared" si="13"/>
        <v>0</v>
      </c>
      <c r="AK63" s="1">
        <f t="shared" si="13"/>
        <v>0</v>
      </c>
      <c r="AL63" s="1">
        <f t="shared" si="13"/>
        <v>0</v>
      </c>
      <c r="AM63" s="1">
        <f t="shared" si="13"/>
        <v>0</v>
      </c>
      <c r="AN63" s="1">
        <f t="shared" si="13"/>
        <v>0</v>
      </c>
      <c r="AO63" s="1">
        <f t="shared" si="13"/>
        <v>0</v>
      </c>
      <c r="AP63" s="1">
        <f t="shared" si="13"/>
        <v>0</v>
      </c>
      <c r="AQ63" s="1">
        <f t="shared" si="13"/>
        <v>0</v>
      </c>
      <c r="AR63" s="1">
        <f t="shared" si="13"/>
        <v>0</v>
      </c>
      <c r="AS63" s="1">
        <f t="shared" si="13"/>
        <v>0</v>
      </c>
      <c r="AT63" s="1">
        <f t="shared" si="14"/>
        <v>0</v>
      </c>
      <c r="AU63" s="1">
        <f t="shared" si="14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1"/>
        <v>0</v>
      </c>
      <c r="F64" s="1">
        <f t="shared" si="11"/>
        <v>0</v>
      </c>
      <c r="G64" s="1">
        <f t="shared" si="11"/>
        <v>0</v>
      </c>
      <c r="H64" s="1">
        <f t="shared" si="11"/>
        <v>0</v>
      </c>
      <c r="I64" s="1">
        <f t="shared" si="11"/>
        <v>0</v>
      </c>
      <c r="J64" s="1">
        <f t="shared" si="11"/>
        <v>0</v>
      </c>
      <c r="K64" s="1">
        <f t="shared" si="11"/>
        <v>0</v>
      </c>
      <c r="L64" s="1">
        <f t="shared" si="11"/>
        <v>0</v>
      </c>
      <c r="M64" s="1">
        <f t="shared" si="11"/>
        <v>0</v>
      </c>
      <c r="N64" s="1">
        <f t="shared" si="11"/>
        <v>0</v>
      </c>
      <c r="O64" s="1">
        <f t="shared" si="11"/>
        <v>0</v>
      </c>
      <c r="P64" s="1">
        <f t="shared" si="11"/>
        <v>0</v>
      </c>
      <c r="Q64" s="1">
        <f t="shared" si="11"/>
        <v>0</v>
      </c>
      <c r="R64" s="1">
        <f t="shared" si="11"/>
        <v>0</v>
      </c>
      <c r="S64" s="1">
        <f t="shared" si="11"/>
        <v>0</v>
      </c>
      <c r="T64" s="1">
        <f t="shared" si="11"/>
        <v>0</v>
      </c>
      <c r="U64" s="1">
        <f t="shared" si="12"/>
        <v>0</v>
      </c>
      <c r="V64" s="1">
        <f t="shared" si="12"/>
        <v>0</v>
      </c>
      <c r="W64" s="1">
        <f t="shared" si="12"/>
        <v>0</v>
      </c>
      <c r="X64" s="1">
        <f t="shared" si="12"/>
        <v>0</v>
      </c>
      <c r="Y64" s="1">
        <f t="shared" si="12"/>
        <v>0</v>
      </c>
      <c r="Z64" s="1">
        <f t="shared" si="12"/>
        <v>0</v>
      </c>
      <c r="AA64" s="1">
        <f t="shared" si="12"/>
        <v>0</v>
      </c>
      <c r="AD64" s="1">
        <f t="shared" si="13"/>
        <v>0</v>
      </c>
      <c r="AE64" s="1">
        <f t="shared" si="13"/>
        <v>0</v>
      </c>
      <c r="AF64" s="1">
        <f t="shared" si="13"/>
        <v>0</v>
      </c>
      <c r="AG64" s="1">
        <f t="shared" si="13"/>
        <v>0</v>
      </c>
      <c r="AH64" s="1">
        <f t="shared" si="13"/>
        <v>0</v>
      </c>
      <c r="AI64" s="1">
        <f t="shared" si="13"/>
        <v>0</v>
      </c>
      <c r="AJ64" s="1">
        <f t="shared" si="13"/>
        <v>0</v>
      </c>
      <c r="AK64" s="1">
        <f t="shared" si="13"/>
        <v>0</v>
      </c>
      <c r="AL64" s="1">
        <f t="shared" si="13"/>
        <v>0</v>
      </c>
      <c r="AM64" s="1">
        <f t="shared" si="13"/>
        <v>0</v>
      </c>
      <c r="AN64" s="1">
        <f t="shared" si="13"/>
        <v>0</v>
      </c>
      <c r="AO64" s="1">
        <f t="shared" si="13"/>
        <v>0</v>
      </c>
      <c r="AP64" s="1">
        <f t="shared" si="13"/>
        <v>0</v>
      </c>
      <c r="AQ64" s="1">
        <f t="shared" si="13"/>
        <v>0</v>
      </c>
      <c r="AR64" s="1">
        <f t="shared" si="13"/>
        <v>0</v>
      </c>
      <c r="AS64" s="1">
        <f t="shared" si="13"/>
        <v>0</v>
      </c>
      <c r="AT64" s="1">
        <f t="shared" si="14"/>
        <v>0</v>
      </c>
      <c r="AU64" s="1">
        <f t="shared" si="14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1"/>
        <v>0</v>
      </c>
      <c r="F65" s="1">
        <f t="shared" si="11"/>
        <v>0</v>
      </c>
      <c r="G65" s="1">
        <f t="shared" si="11"/>
        <v>0</v>
      </c>
      <c r="H65" s="1">
        <f t="shared" si="11"/>
        <v>0</v>
      </c>
      <c r="I65" s="1">
        <f t="shared" si="11"/>
        <v>0</v>
      </c>
      <c r="J65" s="1">
        <f t="shared" si="11"/>
        <v>0</v>
      </c>
      <c r="K65" s="1">
        <f t="shared" si="11"/>
        <v>0</v>
      </c>
      <c r="L65" s="1">
        <f t="shared" si="11"/>
        <v>0</v>
      </c>
      <c r="M65" s="1">
        <f t="shared" si="11"/>
        <v>0</v>
      </c>
      <c r="N65" s="1">
        <f t="shared" si="11"/>
        <v>0</v>
      </c>
      <c r="O65" s="1">
        <f t="shared" si="11"/>
        <v>0</v>
      </c>
      <c r="P65" s="1">
        <f t="shared" si="11"/>
        <v>0</v>
      </c>
      <c r="Q65" s="1">
        <f t="shared" si="11"/>
        <v>0</v>
      </c>
      <c r="R65" s="1">
        <f t="shared" si="11"/>
        <v>0</v>
      </c>
      <c r="S65" s="1">
        <f t="shared" si="11"/>
        <v>0</v>
      </c>
      <c r="T65" s="1">
        <f t="shared" si="11"/>
        <v>0</v>
      </c>
      <c r="U65" s="1">
        <f t="shared" si="12"/>
        <v>0</v>
      </c>
      <c r="V65" s="1">
        <f t="shared" si="12"/>
        <v>0</v>
      </c>
      <c r="W65" s="1">
        <f t="shared" si="12"/>
        <v>0</v>
      </c>
      <c r="X65" s="1">
        <f t="shared" si="12"/>
        <v>0</v>
      </c>
      <c r="Y65" s="1">
        <f t="shared" si="12"/>
        <v>0</v>
      </c>
      <c r="Z65" s="1">
        <f t="shared" si="12"/>
        <v>0</v>
      </c>
      <c r="AA65" s="1">
        <f t="shared" si="12"/>
        <v>0</v>
      </c>
      <c r="AD65" s="1">
        <f t="shared" si="13"/>
        <v>0</v>
      </c>
      <c r="AE65" s="1">
        <f t="shared" si="13"/>
        <v>0</v>
      </c>
      <c r="AF65" s="1">
        <f t="shared" si="13"/>
        <v>0</v>
      </c>
      <c r="AG65" s="1">
        <f t="shared" si="13"/>
        <v>0</v>
      </c>
      <c r="AH65" s="1">
        <f t="shared" si="13"/>
        <v>0</v>
      </c>
      <c r="AI65" s="1">
        <f t="shared" si="13"/>
        <v>0</v>
      </c>
      <c r="AJ65" s="1">
        <f t="shared" si="13"/>
        <v>0</v>
      </c>
      <c r="AK65" s="1">
        <f t="shared" si="13"/>
        <v>0</v>
      </c>
      <c r="AL65" s="1">
        <f t="shared" si="13"/>
        <v>0</v>
      </c>
      <c r="AM65" s="1">
        <f t="shared" si="13"/>
        <v>0</v>
      </c>
      <c r="AN65" s="1">
        <f t="shared" si="13"/>
        <v>0</v>
      </c>
      <c r="AO65" s="1">
        <f t="shared" si="13"/>
        <v>0</v>
      </c>
      <c r="AP65" s="1">
        <f t="shared" si="13"/>
        <v>0</v>
      </c>
      <c r="AQ65" s="1">
        <f t="shared" si="13"/>
        <v>0</v>
      </c>
      <c r="AR65" s="1">
        <f t="shared" si="13"/>
        <v>0</v>
      </c>
      <c r="AS65" s="1">
        <f t="shared" si="13"/>
        <v>0</v>
      </c>
      <c r="AT65" s="1">
        <f t="shared" si="14"/>
        <v>0</v>
      </c>
      <c r="AU65" s="1">
        <f t="shared" si="14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1"/>
        <v>0</v>
      </c>
      <c r="F66" s="1">
        <f t="shared" si="11"/>
        <v>0</v>
      </c>
      <c r="G66" s="1">
        <f t="shared" si="11"/>
        <v>0</v>
      </c>
      <c r="H66" s="1">
        <f t="shared" si="11"/>
        <v>0</v>
      </c>
      <c r="I66" s="1">
        <f t="shared" si="11"/>
        <v>0</v>
      </c>
      <c r="J66" s="1">
        <f t="shared" si="11"/>
        <v>0</v>
      </c>
      <c r="K66" s="1">
        <f t="shared" si="11"/>
        <v>0</v>
      </c>
      <c r="L66" s="1">
        <f t="shared" si="11"/>
        <v>0</v>
      </c>
      <c r="M66" s="1">
        <f t="shared" si="11"/>
        <v>0</v>
      </c>
      <c r="N66" s="1">
        <f t="shared" si="11"/>
        <v>0</v>
      </c>
      <c r="O66" s="1">
        <f t="shared" si="11"/>
        <v>0</v>
      </c>
      <c r="P66" s="1">
        <f t="shared" si="11"/>
        <v>0</v>
      </c>
      <c r="Q66" s="1">
        <f t="shared" si="11"/>
        <v>0</v>
      </c>
      <c r="R66" s="1">
        <f t="shared" si="11"/>
        <v>0</v>
      </c>
      <c r="S66" s="1">
        <f t="shared" si="11"/>
        <v>0</v>
      </c>
      <c r="T66" s="1">
        <f t="shared" si="11"/>
        <v>0</v>
      </c>
      <c r="U66" s="1">
        <f t="shared" si="12"/>
        <v>0</v>
      </c>
      <c r="V66" s="1">
        <f t="shared" si="12"/>
        <v>0</v>
      </c>
      <c r="W66" s="1">
        <f t="shared" si="12"/>
        <v>0</v>
      </c>
      <c r="X66" s="1">
        <f t="shared" si="12"/>
        <v>0</v>
      </c>
      <c r="Y66" s="1">
        <f t="shared" si="12"/>
        <v>0</v>
      </c>
      <c r="Z66" s="1">
        <f t="shared" si="12"/>
        <v>0</v>
      </c>
      <c r="AA66" s="1">
        <f t="shared" si="12"/>
        <v>0</v>
      </c>
      <c r="AD66" s="1">
        <f t="shared" si="13"/>
        <v>0</v>
      </c>
      <c r="AE66" s="1">
        <f t="shared" si="13"/>
        <v>0</v>
      </c>
      <c r="AF66" s="1">
        <f t="shared" si="13"/>
        <v>0</v>
      </c>
      <c r="AG66" s="1">
        <f t="shared" si="13"/>
        <v>0</v>
      </c>
      <c r="AH66" s="1">
        <f t="shared" si="13"/>
        <v>0</v>
      </c>
      <c r="AI66" s="1">
        <f t="shared" si="13"/>
        <v>0</v>
      </c>
      <c r="AJ66" s="1">
        <f t="shared" si="13"/>
        <v>0</v>
      </c>
      <c r="AK66" s="1">
        <f t="shared" si="13"/>
        <v>0</v>
      </c>
      <c r="AL66" s="1">
        <f t="shared" si="13"/>
        <v>0</v>
      </c>
      <c r="AM66" s="1">
        <f t="shared" si="13"/>
        <v>0</v>
      </c>
      <c r="AN66" s="1">
        <f t="shared" si="14"/>
        <v>0</v>
      </c>
      <c r="AO66" s="1">
        <f t="shared" si="14"/>
        <v>0</v>
      </c>
      <c r="AP66" s="1">
        <f t="shared" si="14"/>
        <v>0</v>
      </c>
      <c r="AQ66" s="1">
        <f t="shared" si="14"/>
        <v>0</v>
      </c>
      <c r="AR66" s="1">
        <f t="shared" si="14"/>
        <v>0</v>
      </c>
      <c r="AS66" s="1">
        <f t="shared" si="14"/>
        <v>0</v>
      </c>
      <c r="AT66" s="1">
        <f t="shared" si="14"/>
        <v>0</v>
      </c>
      <c r="AU66" s="1">
        <f t="shared" si="14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1"/>
        <v>0</v>
      </c>
      <c r="F67" s="1">
        <f t="shared" si="11"/>
        <v>0</v>
      </c>
      <c r="G67" s="1">
        <f t="shared" si="11"/>
        <v>0</v>
      </c>
      <c r="H67" s="1">
        <f t="shared" si="11"/>
        <v>0</v>
      </c>
      <c r="I67" s="1">
        <f t="shared" si="11"/>
        <v>0</v>
      </c>
      <c r="J67" s="1">
        <f t="shared" si="11"/>
        <v>0</v>
      </c>
      <c r="K67" s="1">
        <f t="shared" si="11"/>
        <v>0</v>
      </c>
      <c r="L67" s="1">
        <f t="shared" si="11"/>
        <v>0</v>
      </c>
      <c r="M67" s="1">
        <f t="shared" si="11"/>
        <v>0</v>
      </c>
      <c r="N67" s="1">
        <f t="shared" si="11"/>
        <v>0</v>
      </c>
      <c r="O67" s="1">
        <f t="shared" si="11"/>
        <v>0</v>
      </c>
      <c r="P67" s="1">
        <f t="shared" si="11"/>
        <v>0</v>
      </c>
      <c r="Q67" s="1">
        <f t="shared" si="11"/>
        <v>0</v>
      </c>
      <c r="R67" s="1">
        <f t="shared" si="11"/>
        <v>0</v>
      </c>
      <c r="S67" s="1">
        <f t="shared" si="11"/>
        <v>0</v>
      </c>
      <c r="T67" s="1">
        <f t="shared" si="11"/>
        <v>0</v>
      </c>
      <c r="U67" s="1">
        <f t="shared" si="12"/>
        <v>0</v>
      </c>
      <c r="V67" s="1">
        <f t="shared" si="12"/>
        <v>0</v>
      </c>
      <c r="W67" s="1">
        <f t="shared" si="12"/>
        <v>0</v>
      </c>
      <c r="X67" s="1">
        <f t="shared" si="12"/>
        <v>0</v>
      </c>
      <c r="Y67" s="1">
        <f t="shared" si="12"/>
        <v>0</v>
      </c>
      <c r="Z67" s="1">
        <f t="shared" si="12"/>
        <v>0</v>
      </c>
      <c r="AA67" s="1">
        <f t="shared" si="12"/>
        <v>0</v>
      </c>
      <c r="AD67" s="1">
        <f t="shared" si="13"/>
        <v>0</v>
      </c>
      <c r="AE67" s="1">
        <f t="shared" si="13"/>
        <v>0</v>
      </c>
      <c r="AF67" s="1">
        <f t="shared" si="13"/>
        <v>0</v>
      </c>
      <c r="AG67" s="1">
        <f t="shared" si="13"/>
        <v>0</v>
      </c>
      <c r="AH67" s="1">
        <f t="shared" si="13"/>
        <v>0</v>
      </c>
      <c r="AI67" s="1">
        <f t="shared" si="13"/>
        <v>0</v>
      </c>
      <c r="AJ67" s="1">
        <f t="shared" si="13"/>
        <v>0</v>
      </c>
      <c r="AK67" s="1">
        <f t="shared" si="13"/>
        <v>0</v>
      </c>
      <c r="AL67" s="1">
        <f t="shared" si="13"/>
        <v>0</v>
      </c>
      <c r="AM67" s="1">
        <f t="shared" si="13"/>
        <v>0</v>
      </c>
      <c r="AN67" s="1">
        <f t="shared" si="14"/>
        <v>0</v>
      </c>
      <c r="AO67" s="1">
        <f t="shared" si="14"/>
        <v>0</v>
      </c>
      <c r="AP67" s="1">
        <f t="shared" si="14"/>
        <v>0</v>
      </c>
      <c r="AQ67" s="1">
        <f t="shared" si="14"/>
        <v>0</v>
      </c>
      <c r="AR67" s="1">
        <f t="shared" si="14"/>
        <v>0</v>
      </c>
      <c r="AS67" s="1">
        <f t="shared" si="14"/>
        <v>0</v>
      </c>
      <c r="AT67" s="1">
        <f t="shared" si="14"/>
        <v>0</v>
      </c>
      <c r="AU67" s="1">
        <f t="shared" si="14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1"/>
        <v>0</v>
      </c>
      <c r="F68" s="1">
        <f t="shared" si="11"/>
        <v>0</v>
      </c>
      <c r="G68" s="1">
        <f t="shared" si="11"/>
        <v>0</v>
      </c>
      <c r="H68" s="1">
        <f t="shared" si="11"/>
        <v>0</v>
      </c>
      <c r="I68" s="1">
        <f t="shared" si="11"/>
        <v>0</v>
      </c>
      <c r="J68" s="1">
        <f t="shared" si="11"/>
        <v>0</v>
      </c>
      <c r="K68" s="1">
        <f t="shared" si="11"/>
        <v>0</v>
      </c>
      <c r="L68" s="1">
        <f t="shared" si="11"/>
        <v>0</v>
      </c>
      <c r="M68" s="1">
        <f t="shared" si="11"/>
        <v>0</v>
      </c>
      <c r="N68" s="1">
        <f t="shared" si="11"/>
        <v>0</v>
      </c>
      <c r="O68" s="1">
        <f t="shared" si="11"/>
        <v>0</v>
      </c>
      <c r="P68" s="1">
        <f t="shared" si="11"/>
        <v>0</v>
      </c>
      <c r="Q68" s="1">
        <f t="shared" si="11"/>
        <v>0</v>
      </c>
      <c r="R68" s="1">
        <f t="shared" si="11"/>
        <v>0</v>
      </c>
      <c r="S68" s="1">
        <f t="shared" si="11"/>
        <v>0</v>
      </c>
      <c r="T68" s="1">
        <f t="shared" si="11"/>
        <v>0</v>
      </c>
      <c r="U68" s="1">
        <f t="shared" si="12"/>
        <v>0</v>
      </c>
      <c r="V68" s="1">
        <f t="shared" si="12"/>
        <v>0</v>
      </c>
      <c r="W68" s="1">
        <f t="shared" si="12"/>
        <v>0</v>
      </c>
      <c r="X68" s="1">
        <f t="shared" si="12"/>
        <v>0</v>
      </c>
      <c r="Y68" s="1">
        <f t="shared" si="12"/>
        <v>0</v>
      </c>
      <c r="Z68" s="1">
        <f t="shared" si="12"/>
        <v>0</v>
      </c>
      <c r="AA68" s="1">
        <f t="shared" si="12"/>
        <v>0</v>
      </c>
      <c r="AD68" s="1">
        <f t="shared" si="13"/>
        <v>0</v>
      </c>
      <c r="AE68" s="1">
        <f t="shared" si="13"/>
        <v>0</v>
      </c>
      <c r="AF68" s="1">
        <f t="shared" si="13"/>
        <v>0</v>
      </c>
      <c r="AG68" s="1">
        <f t="shared" si="13"/>
        <v>0</v>
      </c>
      <c r="AH68" s="1">
        <f t="shared" si="13"/>
        <v>0</v>
      </c>
      <c r="AI68" s="1">
        <f t="shared" si="13"/>
        <v>0</v>
      </c>
      <c r="AJ68" s="1">
        <f t="shared" si="13"/>
        <v>0</v>
      </c>
      <c r="AK68" s="1">
        <f t="shared" si="13"/>
        <v>0</v>
      </c>
      <c r="AL68" s="1">
        <f t="shared" si="13"/>
        <v>0</v>
      </c>
      <c r="AM68" s="1">
        <f t="shared" si="13"/>
        <v>0</v>
      </c>
      <c r="AN68" s="1">
        <f t="shared" si="14"/>
        <v>0</v>
      </c>
      <c r="AO68" s="1">
        <f t="shared" si="14"/>
        <v>0</v>
      </c>
      <c r="AP68" s="1">
        <f t="shared" si="14"/>
        <v>0</v>
      </c>
      <c r="AQ68" s="1">
        <f t="shared" si="14"/>
        <v>0</v>
      </c>
      <c r="AR68" s="1">
        <f t="shared" si="14"/>
        <v>0</v>
      </c>
      <c r="AS68" s="1">
        <f t="shared" si="14"/>
        <v>0</v>
      </c>
      <c r="AT68" s="1">
        <f t="shared" si="14"/>
        <v>0</v>
      </c>
      <c r="AU68" s="1">
        <f t="shared" si="14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1"/>
        <v>0</v>
      </c>
      <c r="F69" s="1">
        <f t="shared" si="11"/>
        <v>0</v>
      </c>
      <c r="G69" s="1">
        <f t="shared" si="11"/>
        <v>0</v>
      </c>
      <c r="H69" s="1">
        <f t="shared" si="11"/>
        <v>0</v>
      </c>
      <c r="I69" s="1">
        <f t="shared" si="11"/>
        <v>0</v>
      </c>
      <c r="J69" s="1">
        <f t="shared" si="11"/>
        <v>0</v>
      </c>
      <c r="K69" s="1">
        <f t="shared" si="11"/>
        <v>0</v>
      </c>
      <c r="L69" s="1">
        <f t="shared" si="11"/>
        <v>0</v>
      </c>
      <c r="M69" s="1">
        <f t="shared" si="11"/>
        <v>0</v>
      </c>
      <c r="N69" s="1">
        <f t="shared" si="11"/>
        <v>0</v>
      </c>
      <c r="O69" s="1">
        <f t="shared" si="11"/>
        <v>0</v>
      </c>
      <c r="P69" s="1">
        <f t="shared" si="11"/>
        <v>0</v>
      </c>
      <c r="Q69" s="1">
        <f t="shared" si="11"/>
        <v>0</v>
      </c>
      <c r="R69" s="1">
        <f t="shared" si="11"/>
        <v>0</v>
      </c>
      <c r="S69" s="1">
        <f t="shared" si="11"/>
        <v>0</v>
      </c>
      <c r="T69" s="1">
        <f t="shared" si="11"/>
        <v>0</v>
      </c>
      <c r="U69" s="1">
        <f t="shared" si="12"/>
        <v>0</v>
      </c>
      <c r="V69" s="1">
        <f t="shared" si="12"/>
        <v>0</v>
      </c>
      <c r="W69" s="1">
        <f t="shared" si="12"/>
        <v>0</v>
      </c>
      <c r="X69" s="1">
        <f t="shared" si="12"/>
        <v>0</v>
      </c>
      <c r="Y69" s="1">
        <f t="shared" si="12"/>
        <v>0</v>
      </c>
      <c r="Z69" s="1">
        <f t="shared" si="12"/>
        <v>0</v>
      </c>
      <c r="AA69" s="1">
        <f t="shared" si="12"/>
        <v>0</v>
      </c>
      <c r="AD69" s="1">
        <f t="shared" si="13"/>
        <v>0</v>
      </c>
      <c r="AE69" s="1">
        <f t="shared" si="13"/>
        <v>0</v>
      </c>
      <c r="AF69" s="1">
        <f t="shared" si="13"/>
        <v>0</v>
      </c>
      <c r="AG69" s="1">
        <f t="shared" si="13"/>
        <v>0</v>
      </c>
      <c r="AH69" s="1">
        <f t="shared" si="13"/>
        <v>0</v>
      </c>
      <c r="AI69" s="1">
        <f t="shared" si="13"/>
        <v>0</v>
      </c>
      <c r="AJ69" s="1">
        <f t="shared" si="13"/>
        <v>0</v>
      </c>
      <c r="AK69" s="1">
        <f t="shared" si="13"/>
        <v>0</v>
      </c>
      <c r="AL69" s="1">
        <f t="shared" si="13"/>
        <v>0</v>
      </c>
      <c r="AM69" s="1">
        <f t="shared" si="13"/>
        <v>0</v>
      </c>
      <c r="AN69" s="1">
        <f t="shared" si="14"/>
        <v>0</v>
      </c>
      <c r="AO69" s="1">
        <f t="shared" si="14"/>
        <v>0</v>
      </c>
      <c r="AP69" s="1">
        <f t="shared" si="14"/>
        <v>0</v>
      </c>
      <c r="AQ69" s="1">
        <f t="shared" si="14"/>
        <v>0</v>
      </c>
      <c r="AR69" s="1">
        <f t="shared" si="14"/>
        <v>0</v>
      </c>
      <c r="AS69" s="1">
        <f t="shared" si="14"/>
        <v>0</v>
      </c>
      <c r="AT69" s="1">
        <f t="shared" si="14"/>
        <v>0</v>
      </c>
      <c r="AU69" s="1">
        <f t="shared" si="14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1"/>
        <v>0</v>
      </c>
      <c r="F70" s="1">
        <f t="shared" si="11"/>
        <v>0</v>
      </c>
      <c r="G70" s="1">
        <f t="shared" si="11"/>
        <v>0</v>
      </c>
      <c r="H70" s="1">
        <f t="shared" si="11"/>
        <v>0</v>
      </c>
      <c r="I70" s="1">
        <f t="shared" si="11"/>
        <v>0</v>
      </c>
      <c r="J70" s="1">
        <f t="shared" si="11"/>
        <v>0</v>
      </c>
      <c r="K70" s="1">
        <f t="shared" si="11"/>
        <v>0</v>
      </c>
      <c r="L70" s="1">
        <f t="shared" si="11"/>
        <v>0</v>
      </c>
      <c r="M70" s="1">
        <f t="shared" si="11"/>
        <v>0</v>
      </c>
      <c r="N70" s="1">
        <f t="shared" si="11"/>
        <v>0</v>
      </c>
      <c r="O70" s="1">
        <f t="shared" si="11"/>
        <v>0</v>
      </c>
      <c r="P70" s="1">
        <f t="shared" si="11"/>
        <v>0</v>
      </c>
      <c r="Q70" s="1">
        <f t="shared" si="11"/>
        <v>0</v>
      </c>
      <c r="R70" s="1">
        <f t="shared" si="11"/>
        <v>0</v>
      </c>
      <c r="S70" s="1">
        <f t="shared" si="11"/>
        <v>0</v>
      </c>
      <c r="T70" s="1">
        <f t="shared" si="11"/>
        <v>0</v>
      </c>
      <c r="U70" s="1">
        <f t="shared" si="12"/>
        <v>0</v>
      </c>
      <c r="V70" s="1">
        <f t="shared" si="12"/>
        <v>0</v>
      </c>
      <c r="W70" s="1">
        <f t="shared" si="12"/>
        <v>0</v>
      </c>
      <c r="X70" s="1">
        <f t="shared" si="12"/>
        <v>0</v>
      </c>
      <c r="Y70" s="1">
        <f t="shared" si="12"/>
        <v>0</v>
      </c>
      <c r="Z70" s="1">
        <f t="shared" si="12"/>
        <v>0</v>
      </c>
      <c r="AA70" s="1">
        <f t="shared" si="12"/>
        <v>0</v>
      </c>
      <c r="AD70" s="1">
        <f t="shared" si="13"/>
        <v>0</v>
      </c>
      <c r="AE70" s="1">
        <f t="shared" si="13"/>
        <v>0</v>
      </c>
      <c r="AF70" s="1">
        <f t="shared" si="13"/>
        <v>0</v>
      </c>
      <c r="AG70" s="1">
        <f t="shared" si="13"/>
        <v>0</v>
      </c>
      <c r="AH70" s="1">
        <f t="shared" si="13"/>
        <v>0</v>
      </c>
      <c r="AI70" s="1">
        <f t="shared" si="13"/>
        <v>0</v>
      </c>
      <c r="AJ70" s="1">
        <f t="shared" si="13"/>
        <v>0</v>
      </c>
      <c r="AK70" s="1">
        <f t="shared" si="13"/>
        <v>0</v>
      </c>
      <c r="AL70" s="1">
        <f t="shared" si="13"/>
        <v>0</v>
      </c>
      <c r="AM70" s="1">
        <f t="shared" si="13"/>
        <v>0</v>
      </c>
      <c r="AN70" s="1">
        <f t="shared" si="14"/>
        <v>0</v>
      </c>
      <c r="AO70" s="1">
        <f t="shared" si="14"/>
        <v>0</v>
      </c>
      <c r="AP70" s="1">
        <f t="shared" si="14"/>
        <v>0</v>
      </c>
      <c r="AQ70" s="1">
        <f t="shared" si="14"/>
        <v>0</v>
      </c>
      <c r="AR70" s="1">
        <f t="shared" si="14"/>
        <v>0</v>
      </c>
      <c r="AS70" s="1">
        <f t="shared" si="14"/>
        <v>0</v>
      </c>
      <c r="AT70" s="1">
        <f t="shared" si="14"/>
        <v>0</v>
      </c>
      <c r="AU70" s="1">
        <f t="shared" si="14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守備位置" prompt="守備位置を選択してください" sqref="B10:B29" xr:uid="{320B297F-2021-44D0-9E64-43F63F748EAB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2E83EBCB-AA88-4EC8-A155-AD114620AFCE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E0726B36-A28E-4443-831A-D6AAA6DDCE4C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1541C33A-8038-4D0A-AD48-4D2BCD790AF8}">
      <formula1>45017</formula1>
      <formula2>45747</formula2>
    </dataValidation>
    <dataValidation type="list" allowBlank="1" showInputMessage="1" showErrorMessage="1" promptTitle="勝敗" prompt="勝敗を選択してください" sqref="C4:C6" xr:uid="{96D33496-35C6-4B87-A910-311C627CB97C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目を選択してください" xr:uid="{7E1B7B97-1A65-4A16-B1B6-42D387D45A62}">
          <x14:formula1>
            <xm:f>データ!$A:$A</xm:f>
          </x14:formula1>
          <xm:sqref>D41:D70</xm:sqref>
        </x14:dataValidation>
        <x14:dataValidation type="list" allowBlank="1" showInputMessage="1" showErrorMessage="1" promptTitle="後攻" prompt="後攻チームを選択してください" xr:uid="{D5876CAC-9CE5-4452-BFC0-9DAE008F5E56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12307A2A-57F1-4B0B-911E-4513067F2721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9ED2C26D-0755-440C-9238-997E4ABF5349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15A62AF9-3152-4C63-9A43-CE8CD08A33EF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43062804-2867-4353-A4DB-B220FE763209}">
          <x14:formula1>
            <xm:f>データ!$E:$E</xm:f>
          </x14:formula1>
          <xm:sqref>E2:O2</xm:sqref>
        </x14:dataValidation>
        <x14:dataValidation type="list" allowBlank="1" showInputMessage="1" showErrorMessage="1" promptTitle="選手名" prompt="選手名を選択してください" xr:uid="{5F65967C-27A3-4068-948E-69662DFF6760}">
          <x14:formula1>
            <xm:f>データ!$A:$A</xm:f>
          </x14:formula1>
          <xm:sqref>D10:D29 AC10:AC29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10BAD-2244-4079-B231-2B4541E4EC45}">
  <sheetPr codeName="Sheet24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45715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331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0.54166666666666663</v>
      </c>
      <c r="AD2" s="17" t="s">
        <v>46</v>
      </c>
      <c r="AE2" s="92">
        <v>0.60416666666666663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110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2</v>
      </c>
      <c r="J5" s="2">
        <v>0</v>
      </c>
      <c r="K5" s="2">
        <v>0</v>
      </c>
      <c r="L5" s="2">
        <v>3</v>
      </c>
      <c r="M5" s="2">
        <v>0</v>
      </c>
      <c r="N5" s="2"/>
      <c r="O5" s="2"/>
      <c r="P5" s="2"/>
      <c r="Q5" s="2"/>
      <c r="R5" s="2"/>
      <c r="S5" s="2"/>
      <c r="T5" s="10">
        <f>SUM(G5:S5)</f>
        <v>5</v>
      </c>
      <c r="U5" s="10">
        <f>IF(D5="九州工業大学",G30,AT30)</f>
        <v>9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331</v>
      </c>
      <c r="E6" s="95"/>
      <c r="F6" s="95"/>
      <c r="G6" s="2">
        <v>0</v>
      </c>
      <c r="H6" s="2">
        <v>0</v>
      </c>
      <c r="I6" s="2">
        <v>3</v>
      </c>
      <c r="J6" s="2">
        <v>0</v>
      </c>
      <c r="K6" s="2">
        <v>0</v>
      </c>
      <c r="L6" s="2">
        <v>0</v>
      </c>
      <c r="M6" s="2">
        <v>1</v>
      </c>
      <c r="N6" s="2"/>
      <c r="O6" s="2"/>
      <c r="P6" s="2"/>
      <c r="Q6" s="2"/>
      <c r="R6" s="2"/>
      <c r="S6" s="2"/>
      <c r="T6" s="10">
        <f>SUM(G6:S6)</f>
        <v>4</v>
      </c>
      <c r="U6" s="10">
        <f>IF(D6="九州工業大学",G30,AT30)</f>
        <v>5</v>
      </c>
      <c r="V6" s="10">
        <f>IF(D6="九州工業大学",AA30,N30)</f>
        <v>4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104</v>
      </c>
      <c r="C10" s="10">
        <f>IF(D10="","",VLOOKUP(D10,データ!A:C,2,FALSE))</f>
        <v>53</v>
      </c>
      <c r="D10" s="7" t="s">
        <v>259</v>
      </c>
      <c r="E10" s="9">
        <v>5</v>
      </c>
      <c r="F10" s="10">
        <f>IF(D10="","",E10-R10-S10-W10-X10)</f>
        <v>5</v>
      </c>
      <c r="G10" s="10">
        <f>IF(D10="","",SUM(J10:M10))</f>
        <v>0</v>
      </c>
      <c r="H10" s="9">
        <v>1</v>
      </c>
      <c r="I10" s="9"/>
      <c r="J10" s="9"/>
      <c r="K10" s="9"/>
      <c r="L10" s="9"/>
      <c r="M10" s="9"/>
      <c r="N10" s="9">
        <v>2</v>
      </c>
      <c r="O10" s="9"/>
      <c r="P10" s="9">
        <v>1</v>
      </c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10">
        <f>IF(AC10="","",VLOOKUP(AC10,データ!A:C,2,FALSE))</f>
        <v>1</v>
      </c>
      <c r="AC10" s="7" t="s">
        <v>229</v>
      </c>
      <c r="AD10" s="10">
        <f>IF(AC10="","",IF(AJ10="",0,1))</f>
        <v>1</v>
      </c>
      <c r="AE10" s="9">
        <v>1</v>
      </c>
      <c r="AF10" s="9"/>
      <c r="AG10" s="9"/>
      <c r="AH10" s="9">
        <v>1</v>
      </c>
      <c r="AI10" s="9"/>
      <c r="AJ10" s="9">
        <v>7</v>
      </c>
      <c r="AK10" s="9"/>
      <c r="AL10" s="9">
        <v>76</v>
      </c>
      <c r="AM10" s="9">
        <v>4</v>
      </c>
      <c r="AN10" s="9">
        <v>1</v>
      </c>
      <c r="AO10" s="9">
        <v>29</v>
      </c>
      <c r="AP10" s="9">
        <v>3</v>
      </c>
      <c r="AQ10" s="9">
        <v>1</v>
      </c>
      <c r="AR10" s="9">
        <v>1</v>
      </c>
      <c r="AS10" s="9"/>
      <c r="AT10" s="9">
        <v>5</v>
      </c>
      <c r="AU10" s="9">
        <v>1</v>
      </c>
    </row>
    <row r="11" spans="1:47" x14ac:dyDescent="0.7">
      <c r="A11" s="2">
        <v>2</v>
      </c>
      <c r="B11" s="8" t="s">
        <v>99</v>
      </c>
      <c r="C11" s="10">
        <f>IF(D11="","",VLOOKUP(D11,データ!A:C,2,FALSE))</f>
        <v>33</v>
      </c>
      <c r="D11" s="7" t="s">
        <v>241</v>
      </c>
      <c r="E11" s="9">
        <v>4</v>
      </c>
      <c r="F11" s="10">
        <f t="shared" ref="F11:F29" si="0">IF(D11="","",E11-R11-S11-W11-X11)</f>
        <v>4</v>
      </c>
      <c r="G11" s="10">
        <f t="shared" ref="G11:G29" si="1">IF(D11="","",SUM(J11:M11))</f>
        <v>2</v>
      </c>
      <c r="H11" s="9">
        <v>1</v>
      </c>
      <c r="I11" s="9">
        <v>1</v>
      </c>
      <c r="J11" s="9">
        <v>1</v>
      </c>
      <c r="K11" s="9">
        <v>1</v>
      </c>
      <c r="L11" s="9"/>
      <c r="M11" s="9"/>
      <c r="N11" s="9">
        <v>1</v>
      </c>
      <c r="O11" s="9">
        <v>2</v>
      </c>
      <c r="P11" s="9">
        <v>1</v>
      </c>
      <c r="Q11" s="9">
        <v>1</v>
      </c>
      <c r="R11" s="9"/>
      <c r="S11" s="9"/>
      <c r="T11" s="9"/>
      <c r="U11" s="9"/>
      <c r="V11" s="9"/>
      <c r="W11" s="9"/>
      <c r="X11" s="9"/>
      <c r="Y11" s="9">
        <v>1</v>
      </c>
      <c r="Z11" s="9">
        <v>3</v>
      </c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103</v>
      </c>
      <c r="C12" s="10">
        <f>IF(D12="","",VLOOKUP(D12,データ!A:C,2,FALSE))</f>
        <v>18</v>
      </c>
      <c r="D12" s="7" t="s">
        <v>262</v>
      </c>
      <c r="E12" s="9">
        <v>4</v>
      </c>
      <c r="F12" s="10">
        <f t="shared" si="0"/>
        <v>4</v>
      </c>
      <c r="G12" s="10">
        <f t="shared" si="1"/>
        <v>1</v>
      </c>
      <c r="H12" s="9">
        <v>2</v>
      </c>
      <c r="I12" s="9"/>
      <c r="J12" s="9">
        <v>1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12</v>
      </c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106</v>
      </c>
      <c r="C13" s="10">
        <f>IF(D13="","",VLOOKUP(D13,データ!A:C,2,FALSE))</f>
        <v>23</v>
      </c>
      <c r="D13" s="7" t="s">
        <v>264</v>
      </c>
      <c r="E13" s="9">
        <v>4</v>
      </c>
      <c r="F13" s="10">
        <f t="shared" si="0"/>
        <v>4</v>
      </c>
      <c r="G13" s="10">
        <f t="shared" si="1"/>
        <v>2</v>
      </c>
      <c r="H13" s="9">
        <v>2</v>
      </c>
      <c r="I13" s="9">
        <v>2</v>
      </c>
      <c r="J13" s="9">
        <v>2</v>
      </c>
      <c r="K13" s="9"/>
      <c r="L13" s="9"/>
      <c r="M13" s="9"/>
      <c r="N13" s="9"/>
      <c r="O13" s="9">
        <v>2</v>
      </c>
      <c r="P13" s="9">
        <v>1</v>
      </c>
      <c r="Q13" s="9"/>
      <c r="R13" s="9"/>
      <c r="S13" s="9"/>
      <c r="T13" s="9"/>
      <c r="U13" s="9"/>
      <c r="V13" s="9"/>
      <c r="W13" s="9"/>
      <c r="X13" s="9"/>
      <c r="Y13" s="9">
        <v>1</v>
      </c>
      <c r="Z13" s="9">
        <v>3</v>
      </c>
      <c r="AA13" s="9">
        <v>1</v>
      </c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105</v>
      </c>
      <c r="C14" s="10">
        <f>IF(D14="","",VLOOKUP(D14,データ!A:C,2,FALSE))</f>
        <v>46</v>
      </c>
      <c r="D14" s="7" t="s">
        <v>181</v>
      </c>
      <c r="E14" s="9">
        <v>4</v>
      </c>
      <c r="F14" s="10">
        <f t="shared" si="0"/>
        <v>3</v>
      </c>
      <c r="G14" s="10">
        <f t="shared" si="1"/>
        <v>2</v>
      </c>
      <c r="H14" s="9">
        <v>2</v>
      </c>
      <c r="I14" s="9">
        <v>2</v>
      </c>
      <c r="J14" s="9">
        <v>2</v>
      </c>
      <c r="K14" s="9"/>
      <c r="L14" s="9"/>
      <c r="M14" s="9"/>
      <c r="N14" s="9"/>
      <c r="O14" s="9"/>
      <c r="P14" s="9"/>
      <c r="Q14" s="9"/>
      <c r="R14" s="9">
        <v>1</v>
      </c>
      <c r="S14" s="9"/>
      <c r="T14" s="9"/>
      <c r="U14" s="9"/>
      <c r="V14" s="9"/>
      <c r="W14" s="9"/>
      <c r="X14" s="9"/>
      <c r="Y14" s="9">
        <v>4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109</v>
      </c>
      <c r="C15" s="10">
        <f>IF(D15="","",VLOOKUP(D15,データ!A:C,2,FALSE))</f>
        <v>5</v>
      </c>
      <c r="D15" s="7" t="s">
        <v>256</v>
      </c>
      <c r="E15" s="9">
        <v>4</v>
      </c>
      <c r="F15" s="10">
        <f t="shared" si="0"/>
        <v>2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/>
      <c r="R15" s="9">
        <v>1</v>
      </c>
      <c r="S15" s="9">
        <v>1</v>
      </c>
      <c r="T15" s="9"/>
      <c r="U15" s="9"/>
      <c r="V15" s="9"/>
      <c r="W15" s="9"/>
      <c r="X15" s="9"/>
      <c r="Y15" s="9"/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107</v>
      </c>
      <c r="C16" s="10">
        <f>IF(D16="","",VLOOKUP(D16,データ!A:C,2,FALSE))</f>
        <v>51</v>
      </c>
      <c r="D16" s="7" t="s">
        <v>245</v>
      </c>
      <c r="E16" s="9">
        <v>4</v>
      </c>
      <c r="F16" s="10">
        <f t="shared" si="0"/>
        <v>4</v>
      </c>
      <c r="G16" s="10">
        <f t="shared" si="1"/>
        <v>1</v>
      </c>
      <c r="H16" s="9">
        <v>3</v>
      </c>
      <c r="I16" s="9">
        <v>1</v>
      </c>
      <c r="J16" s="9">
        <v>1</v>
      </c>
      <c r="K16" s="9"/>
      <c r="L16" s="9"/>
      <c r="M16" s="9"/>
      <c r="N16" s="9"/>
      <c r="O16" s="9">
        <v>1</v>
      </c>
      <c r="P16" s="9"/>
      <c r="Q16" s="9">
        <v>3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108</v>
      </c>
      <c r="C17" s="10">
        <f>IF(D17="","",VLOOKUP(D17,データ!A:C,2,FALSE))</f>
        <v>9</v>
      </c>
      <c r="D17" s="7" t="s">
        <v>268</v>
      </c>
      <c r="E17" s="9">
        <v>4</v>
      </c>
      <c r="F17" s="10">
        <f t="shared" si="0"/>
        <v>1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/>
      <c r="O17" s="9"/>
      <c r="P17" s="9">
        <v>1</v>
      </c>
      <c r="Q17" s="9"/>
      <c r="R17" s="9">
        <v>3</v>
      </c>
      <c r="S17" s="9"/>
      <c r="T17" s="9"/>
      <c r="U17" s="9"/>
      <c r="V17" s="9"/>
      <c r="W17" s="9"/>
      <c r="X17" s="9"/>
      <c r="Y17" s="9">
        <v>1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101</v>
      </c>
      <c r="C18" s="10">
        <f>IF(D18="","",VLOOKUP(D18,データ!A:C,2,FALSE))</f>
        <v>1</v>
      </c>
      <c r="D18" s="7" t="s">
        <v>229</v>
      </c>
      <c r="E18" s="9">
        <v>4</v>
      </c>
      <c r="F18" s="10">
        <f t="shared" si="0"/>
        <v>4</v>
      </c>
      <c r="G18" s="10">
        <f t="shared" si="1"/>
        <v>1</v>
      </c>
      <c r="H18" s="9">
        <v>1</v>
      </c>
      <c r="I18" s="9"/>
      <c r="J18" s="9">
        <v>1</v>
      </c>
      <c r="K18" s="9"/>
      <c r="L18" s="9"/>
      <c r="M18" s="9"/>
      <c r="N18" s="9"/>
      <c r="O18" s="9"/>
      <c r="P18" s="9">
        <v>1</v>
      </c>
      <c r="Q18" s="9"/>
      <c r="R18" s="9"/>
      <c r="S18" s="9"/>
      <c r="T18" s="9"/>
      <c r="U18" s="9"/>
      <c r="V18" s="9"/>
      <c r="W18" s="9"/>
      <c r="X18" s="9"/>
      <c r="Y18" s="9">
        <v>2</v>
      </c>
      <c r="Z18" s="9">
        <v>1</v>
      </c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104</v>
      </c>
      <c r="C19" s="10">
        <f>IF(D19="","",VLOOKUP(D19,データ!A:C,2,FALSE))</f>
        <v>50</v>
      </c>
      <c r="D19" s="7" t="s">
        <v>243</v>
      </c>
      <c r="E19" s="9">
        <v>3</v>
      </c>
      <c r="F19" s="10">
        <f t="shared" si="0"/>
        <v>3</v>
      </c>
      <c r="G19" s="10">
        <f t="shared" si="1"/>
        <v>0</v>
      </c>
      <c r="H19" s="9">
        <v>1</v>
      </c>
      <c r="I19" s="9"/>
      <c r="J19" s="9"/>
      <c r="K19" s="9"/>
      <c r="L19" s="9"/>
      <c r="M19" s="9"/>
      <c r="N19" s="9">
        <v>1</v>
      </c>
      <c r="O19" s="9"/>
      <c r="P19" s="9">
        <v>1</v>
      </c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40</v>
      </c>
      <c r="F30" s="1">
        <f t="shared" si="3"/>
        <v>34</v>
      </c>
      <c r="G30" s="1">
        <f t="shared" si="3"/>
        <v>9</v>
      </c>
      <c r="H30" s="1">
        <f t="shared" si="3"/>
        <v>15</v>
      </c>
      <c r="I30" s="1">
        <f t="shared" si="3"/>
        <v>6</v>
      </c>
      <c r="J30" s="1">
        <f t="shared" si="3"/>
        <v>8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4</v>
      </c>
      <c r="O30" s="1">
        <f t="shared" si="3"/>
        <v>5</v>
      </c>
      <c r="P30" s="1">
        <f t="shared" si="3"/>
        <v>6</v>
      </c>
      <c r="Q30" s="1">
        <f t="shared" si="3"/>
        <v>4</v>
      </c>
      <c r="R30" s="1">
        <f t="shared" si="3"/>
        <v>5</v>
      </c>
      <c r="S30" s="1">
        <f t="shared" si="3"/>
        <v>1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7</v>
      </c>
      <c r="AA30" s="1">
        <f t="shared" si="3"/>
        <v>1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76</v>
      </c>
      <c r="AM30" s="1">
        <f t="shared" si="4"/>
        <v>4</v>
      </c>
      <c r="AN30" s="1">
        <f t="shared" si="4"/>
        <v>1</v>
      </c>
      <c r="AO30" s="1">
        <f t="shared" si="4"/>
        <v>29</v>
      </c>
      <c r="AP30" s="1">
        <f t="shared" si="4"/>
        <v>3</v>
      </c>
      <c r="AQ30" s="1">
        <f t="shared" si="4"/>
        <v>1</v>
      </c>
      <c r="AR30" s="1">
        <f>SUM(AR10:AR29)</f>
        <v>1</v>
      </c>
      <c r="AS30" s="1">
        <f>SUM(AS10:AS29)</f>
        <v>0</v>
      </c>
      <c r="AT30" s="1">
        <f>SUM(AT10:AT29)</f>
        <v>5</v>
      </c>
      <c r="AU30" s="1">
        <f t="shared" si="4"/>
        <v>1</v>
      </c>
    </row>
    <row r="31" spans="1:47" ht="14.25" x14ac:dyDescent="0.7">
      <c r="D31" s="1">
        <f>G30/F30</f>
        <v>0.26470588235294118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4</v>
      </c>
      <c r="F41" s="1">
        <f t="shared" si="5"/>
        <v>4</v>
      </c>
      <c r="G41" s="1">
        <f t="shared" si="5"/>
        <v>1</v>
      </c>
      <c r="H41" s="1">
        <f t="shared" si="5"/>
        <v>1</v>
      </c>
      <c r="I41" s="1">
        <f t="shared" si="5"/>
        <v>0</v>
      </c>
      <c r="J41" s="1">
        <f t="shared" si="5"/>
        <v>1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1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2</v>
      </c>
      <c r="Z41" s="1">
        <f t="shared" si="6"/>
        <v>1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1</v>
      </c>
      <c r="AF41" s="1">
        <f t="shared" si="7"/>
        <v>0</v>
      </c>
      <c r="AG41" s="1">
        <f t="shared" si="7"/>
        <v>0</v>
      </c>
      <c r="AH41" s="1">
        <f t="shared" si="7"/>
        <v>1</v>
      </c>
      <c r="AI41" s="1">
        <f t="shared" si="7"/>
        <v>0</v>
      </c>
      <c r="AJ41" s="1">
        <f t="shared" si="7"/>
        <v>7</v>
      </c>
      <c r="AK41" s="1">
        <f t="shared" si="7"/>
        <v>0</v>
      </c>
      <c r="AL41" s="1">
        <f t="shared" si="7"/>
        <v>76</v>
      </c>
      <c r="AM41" s="1">
        <f t="shared" si="7"/>
        <v>4</v>
      </c>
      <c r="AN41" s="1">
        <f t="shared" si="7"/>
        <v>1</v>
      </c>
      <c r="AO41" s="1">
        <f t="shared" si="7"/>
        <v>29</v>
      </c>
      <c r="AP41" s="1">
        <f t="shared" si="7"/>
        <v>3</v>
      </c>
      <c r="AQ41" s="1">
        <f t="shared" si="7"/>
        <v>1</v>
      </c>
      <c r="AR41" s="1">
        <f t="shared" si="7"/>
        <v>1</v>
      </c>
      <c r="AS41" s="1">
        <f t="shared" si="7"/>
        <v>0</v>
      </c>
      <c r="AT41" s="1">
        <f t="shared" ref="AN41:AU56" si="8">IFERROR(VLOOKUP($D41,$AC$10:$AU$29,AT$71,FALSE),0)</f>
        <v>5</v>
      </c>
      <c r="AU41" s="1">
        <f t="shared" si="8"/>
        <v>1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4</v>
      </c>
      <c r="F43" s="1">
        <f t="shared" si="5"/>
        <v>2</v>
      </c>
      <c r="G43" s="1">
        <f t="shared" si="5"/>
        <v>0</v>
      </c>
      <c r="H43" s="1">
        <f t="shared" si="5"/>
        <v>1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1</v>
      </c>
      <c r="S43" s="1">
        <f t="shared" si="5"/>
        <v>1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4</v>
      </c>
      <c r="F46" s="1">
        <f t="shared" si="5"/>
        <v>1</v>
      </c>
      <c r="G46" s="1">
        <f t="shared" si="5"/>
        <v>0</v>
      </c>
      <c r="H46" s="1">
        <f t="shared" si="5"/>
        <v>1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1</v>
      </c>
      <c r="Q46" s="1">
        <f t="shared" si="5"/>
        <v>0</v>
      </c>
      <c r="R46" s="1">
        <f t="shared" si="5"/>
        <v>3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1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4</v>
      </c>
      <c r="F50" s="1">
        <f t="shared" si="5"/>
        <v>4</v>
      </c>
      <c r="G50" s="1">
        <f t="shared" si="5"/>
        <v>1</v>
      </c>
      <c r="H50" s="1">
        <f t="shared" si="5"/>
        <v>2</v>
      </c>
      <c r="I50" s="1">
        <f t="shared" si="5"/>
        <v>0</v>
      </c>
      <c r="J50" s="1">
        <f t="shared" si="5"/>
        <v>1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12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4</v>
      </c>
      <c r="G53" s="1">
        <f t="shared" si="5"/>
        <v>2</v>
      </c>
      <c r="H53" s="1">
        <f t="shared" si="5"/>
        <v>2</v>
      </c>
      <c r="I53" s="1">
        <f t="shared" si="5"/>
        <v>2</v>
      </c>
      <c r="J53" s="1">
        <f t="shared" si="5"/>
        <v>2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2</v>
      </c>
      <c r="P53" s="1">
        <f t="shared" si="5"/>
        <v>1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1</v>
      </c>
      <c r="Z53" s="1">
        <f t="shared" si="6"/>
        <v>3</v>
      </c>
      <c r="AA53" s="1">
        <f t="shared" si="6"/>
        <v>1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4</v>
      </c>
      <c r="G56" s="1">
        <f t="shared" si="5"/>
        <v>2</v>
      </c>
      <c r="H56" s="1">
        <f t="shared" si="5"/>
        <v>1</v>
      </c>
      <c r="I56" s="1">
        <f t="shared" si="5"/>
        <v>1</v>
      </c>
      <c r="J56" s="1">
        <f t="shared" si="5"/>
        <v>1</v>
      </c>
      <c r="K56" s="1">
        <f t="shared" si="5"/>
        <v>1</v>
      </c>
      <c r="L56" s="1">
        <f t="shared" si="5"/>
        <v>0</v>
      </c>
      <c r="M56" s="1">
        <f t="shared" si="5"/>
        <v>0</v>
      </c>
      <c r="N56" s="1">
        <f t="shared" si="5"/>
        <v>1</v>
      </c>
      <c r="O56" s="1">
        <f t="shared" si="5"/>
        <v>2</v>
      </c>
      <c r="P56" s="1">
        <f t="shared" si="5"/>
        <v>1</v>
      </c>
      <c r="Q56" s="1">
        <f t="shared" si="5"/>
        <v>1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3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4</v>
      </c>
      <c r="F57" s="1">
        <f t="shared" si="10"/>
        <v>3</v>
      </c>
      <c r="G57" s="1">
        <f t="shared" si="10"/>
        <v>2</v>
      </c>
      <c r="H57" s="1">
        <f t="shared" si="10"/>
        <v>2</v>
      </c>
      <c r="I57" s="1">
        <f t="shared" si="10"/>
        <v>2</v>
      </c>
      <c r="J57" s="1">
        <f t="shared" si="10"/>
        <v>2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1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4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3</v>
      </c>
      <c r="F59" s="1">
        <f t="shared" si="10"/>
        <v>3</v>
      </c>
      <c r="G59" s="1">
        <f t="shared" si="10"/>
        <v>0</v>
      </c>
      <c r="H59" s="1">
        <f t="shared" si="10"/>
        <v>1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1</v>
      </c>
      <c r="O59" s="1">
        <f t="shared" si="10"/>
        <v>0</v>
      </c>
      <c r="P59" s="1">
        <f t="shared" si="10"/>
        <v>1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4</v>
      </c>
      <c r="F60" s="1">
        <f t="shared" si="10"/>
        <v>4</v>
      </c>
      <c r="G60" s="1">
        <f t="shared" si="10"/>
        <v>1</v>
      </c>
      <c r="H60" s="1">
        <f t="shared" si="10"/>
        <v>3</v>
      </c>
      <c r="I60" s="1">
        <f t="shared" si="10"/>
        <v>1</v>
      </c>
      <c r="J60" s="1">
        <f t="shared" si="10"/>
        <v>1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1</v>
      </c>
      <c r="P60" s="1">
        <f t="shared" si="10"/>
        <v>0</v>
      </c>
      <c r="Q60" s="1">
        <f t="shared" si="10"/>
        <v>3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5</v>
      </c>
      <c r="F61" s="1">
        <f t="shared" si="10"/>
        <v>5</v>
      </c>
      <c r="G61" s="1">
        <f t="shared" si="10"/>
        <v>0</v>
      </c>
      <c r="H61" s="1">
        <f t="shared" si="10"/>
        <v>1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2</v>
      </c>
      <c r="O61" s="1">
        <f t="shared" si="10"/>
        <v>0</v>
      </c>
      <c r="P61" s="1">
        <f t="shared" si="10"/>
        <v>1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0</v>
      </c>
      <c r="F63" s="1">
        <f t="shared" si="10"/>
        <v>0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0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勝敗" prompt="勝敗を選択してください" sqref="C4:C6" xr:uid="{91F90D41-202A-4C4C-B8A1-EAFB73E05DE3}">
      <formula1>"○,●,△"</formula1>
    </dataValidation>
    <dataValidation type="date" allowBlank="1" showInputMessage="1" showErrorMessage="1" promptTitle="日付入力" prompt="日付を入力してください" sqref="A2:D2" xr:uid="{0762D93B-D5CC-43A1-A59E-93AA018D6BCE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5952A601-2782-4BB6-9930-C863F391D6E4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6C1E2C24-07DD-4F1B-B9DE-255EC877AE13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94C1E7B0-2898-44E8-A1D7-9FFDDA6E3955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0539267C-F1B1-4A73-8B25-F23EA97F0444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FE2EBB4D-708B-4C4E-A49A-8BFED4F20559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8178A3F0-B176-4B41-8B2C-F460C8E1FBFE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04417F28-E88E-43CF-94CD-AE8AD4858BCE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1E25DDD4-6BBA-4319-B2A2-273E9FFC2AE2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3A1A4359-2F7C-46C3-9AD8-D1E7074FC214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8B8EF28F-3EFA-445C-A82E-19FA089DAFBF}">
          <x14:formula1>
            <xm:f>データ!$A:$A</xm:f>
          </x14:formula1>
          <xm:sqref>D41:D70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6343-E5C0-43C1-BFC5-6614942C8791}">
  <sheetPr codeName="Sheet23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45710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322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0.58333333333333337</v>
      </c>
      <c r="AD2" s="17" t="s">
        <v>46</v>
      </c>
      <c r="AE2" s="92">
        <v>0.6875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322</v>
      </c>
      <c r="E5" s="95"/>
      <c r="F5" s="95"/>
      <c r="G5" s="2">
        <v>0</v>
      </c>
      <c r="H5" s="2">
        <v>0</v>
      </c>
      <c r="I5" s="2">
        <v>0</v>
      </c>
      <c r="J5" s="2">
        <v>2</v>
      </c>
      <c r="K5" s="2">
        <v>1</v>
      </c>
      <c r="L5" s="2">
        <v>1</v>
      </c>
      <c r="M5" s="2">
        <v>0</v>
      </c>
      <c r="N5" s="2">
        <v>0</v>
      </c>
      <c r="O5" s="2">
        <v>4</v>
      </c>
      <c r="P5" s="2"/>
      <c r="Q5" s="2"/>
      <c r="R5" s="2"/>
      <c r="S5" s="2"/>
      <c r="T5" s="10">
        <f>SUM(G5:S5)</f>
        <v>8</v>
      </c>
      <c r="U5" s="10">
        <f>IF(D5="九州工業大学",G30,AT30)</f>
        <v>10</v>
      </c>
      <c r="V5" s="10">
        <f>IF(D5="九州工業大学",AA30,N30)</f>
        <v>5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2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/>
      <c r="Q6" s="2"/>
      <c r="R6" s="2"/>
      <c r="S6" s="2"/>
      <c r="T6" s="10">
        <f>SUM(G6:S6)</f>
        <v>2</v>
      </c>
      <c r="U6" s="10">
        <f>IF(D6="九州工業大学",G30,AT30)</f>
        <v>5</v>
      </c>
      <c r="V6" s="10">
        <f>IF(D6="九州工業大学",AA30,N30)</f>
        <v>4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107</v>
      </c>
      <c r="C10" s="10">
        <f>IF(D10="","",VLOOKUP(D10,データ!A:C,2,FALSE))</f>
        <v>7</v>
      </c>
      <c r="D10" s="7" t="s">
        <v>254</v>
      </c>
      <c r="E10" s="9">
        <v>5</v>
      </c>
      <c r="F10" s="10">
        <f>IF(D10="","",E10-R10-S10-W10-X10)</f>
        <v>5</v>
      </c>
      <c r="G10" s="10">
        <f>IF(D10="","",SUM(J10:M10))</f>
        <v>0</v>
      </c>
      <c r="H10" s="9">
        <v>1</v>
      </c>
      <c r="I10" s="9"/>
      <c r="J10" s="9"/>
      <c r="K10" s="9"/>
      <c r="L10" s="9"/>
      <c r="M10" s="9"/>
      <c r="N10" s="9">
        <v>1</v>
      </c>
      <c r="O10" s="9"/>
      <c r="P10" s="9"/>
      <c r="Q10" s="9">
        <v>3</v>
      </c>
      <c r="R10" s="9"/>
      <c r="S10" s="9"/>
      <c r="T10" s="9"/>
      <c r="U10" s="9"/>
      <c r="V10" s="9"/>
      <c r="W10" s="9"/>
      <c r="X10" s="9"/>
      <c r="Y10" s="9"/>
      <c r="Z10" s="9">
        <v>2</v>
      </c>
      <c r="AA10" s="9">
        <v>3</v>
      </c>
      <c r="AB10" s="10">
        <f>IF(AC10="","",VLOOKUP(AC10,データ!A:C,2,FALSE))</f>
        <v>33</v>
      </c>
      <c r="AC10" s="7" t="s">
        <v>241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3</v>
      </c>
      <c r="AK10" s="9"/>
      <c r="AL10" s="9">
        <v>46</v>
      </c>
      <c r="AM10" s="9"/>
      <c r="AN10" s="9"/>
      <c r="AO10" s="9">
        <v>13</v>
      </c>
      <c r="AP10" s="9">
        <v>1</v>
      </c>
      <c r="AQ10" s="9">
        <v>2</v>
      </c>
      <c r="AR10" s="9">
        <v>1</v>
      </c>
      <c r="AS10" s="9"/>
      <c r="AT10" s="9">
        <v>1</v>
      </c>
      <c r="AU10" s="9"/>
    </row>
    <row r="11" spans="1:47" x14ac:dyDescent="0.7">
      <c r="A11" s="2">
        <v>2</v>
      </c>
      <c r="B11" s="8" t="s">
        <v>99</v>
      </c>
      <c r="C11" s="10">
        <f>IF(D11="","",VLOOKUP(D11,データ!A:C,2,FALSE))</f>
        <v>1</v>
      </c>
      <c r="D11" s="7" t="s">
        <v>229</v>
      </c>
      <c r="E11" s="9">
        <v>5</v>
      </c>
      <c r="F11" s="10">
        <f t="shared" ref="F11:F29" si="0">IF(D11="","",E11-R11-S11-W11-X11)</f>
        <v>5</v>
      </c>
      <c r="G11" s="10">
        <f t="shared" ref="G11:G29" si="1">IF(D11="","",SUM(J11:M11))</f>
        <v>0</v>
      </c>
      <c r="H11" s="9">
        <v>2</v>
      </c>
      <c r="I11" s="9"/>
      <c r="J11" s="9"/>
      <c r="K11" s="9"/>
      <c r="L11" s="9"/>
      <c r="M11" s="9"/>
      <c r="N11" s="9">
        <v>1</v>
      </c>
      <c r="O11" s="9"/>
      <c r="P11" s="9">
        <v>1</v>
      </c>
      <c r="Q11" s="9">
        <v>2</v>
      </c>
      <c r="R11" s="9"/>
      <c r="S11" s="9"/>
      <c r="T11" s="9"/>
      <c r="U11" s="9"/>
      <c r="V11" s="9"/>
      <c r="W11" s="9"/>
      <c r="X11" s="9"/>
      <c r="Y11" s="9">
        <v>4</v>
      </c>
      <c r="Z11" s="9">
        <v>6</v>
      </c>
      <c r="AA11" s="9"/>
      <c r="AB11" s="10">
        <f>IF(AC11="","",VLOOKUP(AC11,データ!A:C,2,FALSE))</f>
        <v>18</v>
      </c>
      <c r="AC11" s="7" t="s">
        <v>262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1</v>
      </c>
      <c r="AK11" s="9"/>
      <c r="AL11" s="9">
        <v>40</v>
      </c>
      <c r="AM11" s="9">
        <v>2</v>
      </c>
      <c r="AN11" s="9">
        <v>2</v>
      </c>
      <c r="AO11" s="9">
        <v>8</v>
      </c>
      <c r="AP11" s="9">
        <v>1</v>
      </c>
      <c r="AQ11" s="9">
        <v>4</v>
      </c>
      <c r="AR11" s="9"/>
      <c r="AS11" s="9"/>
      <c r="AT11" s="9">
        <v>2</v>
      </c>
      <c r="AU11" s="9"/>
    </row>
    <row r="12" spans="1:47" x14ac:dyDescent="0.7">
      <c r="A12" s="2">
        <v>3</v>
      </c>
      <c r="B12" s="8" t="s">
        <v>104</v>
      </c>
      <c r="C12" s="10">
        <f>IF(D12="","",VLOOKUP(D12,データ!A:C,2,FALSE))</f>
        <v>53</v>
      </c>
      <c r="D12" s="7" t="s">
        <v>259</v>
      </c>
      <c r="E12" s="9">
        <v>3</v>
      </c>
      <c r="F12" s="10">
        <f t="shared" si="0"/>
        <v>3</v>
      </c>
      <c r="G12" s="10">
        <f t="shared" si="1"/>
        <v>2</v>
      </c>
      <c r="H12" s="9"/>
      <c r="I12" s="9"/>
      <c r="J12" s="9">
        <v>2</v>
      </c>
      <c r="K12" s="9"/>
      <c r="L12" s="9"/>
      <c r="M12" s="9"/>
      <c r="N12" s="9">
        <v>1</v>
      </c>
      <c r="O12" s="9"/>
      <c r="P12" s="9">
        <v>1</v>
      </c>
      <c r="Q12" s="9">
        <v>1</v>
      </c>
      <c r="R12" s="9"/>
      <c r="S12" s="9"/>
      <c r="T12" s="9"/>
      <c r="U12" s="9"/>
      <c r="V12" s="9"/>
      <c r="W12" s="9"/>
      <c r="X12" s="9"/>
      <c r="Y12" s="9">
        <v>1</v>
      </c>
      <c r="Z12" s="9">
        <v>1</v>
      </c>
      <c r="AA12" s="9"/>
      <c r="AB12" s="10">
        <f>IF(AC12="","",VLOOKUP(AC12,データ!A:C,2,FALSE))</f>
        <v>1</v>
      </c>
      <c r="AC12" s="7" t="s">
        <v>229</v>
      </c>
      <c r="AD12" s="10">
        <f t="shared" si="2"/>
        <v>1</v>
      </c>
      <c r="AE12" s="9"/>
      <c r="AF12" s="9">
        <v>1</v>
      </c>
      <c r="AG12" s="9"/>
      <c r="AH12" s="9"/>
      <c r="AI12" s="9"/>
      <c r="AJ12" s="9">
        <v>5</v>
      </c>
      <c r="AK12" s="9"/>
      <c r="AL12" s="9">
        <v>92</v>
      </c>
      <c r="AM12" s="9">
        <v>6</v>
      </c>
      <c r="AN12" s="9">
        <v>3</v>
      </c>
      <c r="AO12" s="9">
        <v>27</v>
      </c>
      <c r="AP12" s="9">
        <v>3</v>
      </c>
      <c r="AQ12" s="9">
        <v>3</v>
      </c>
      <c r="AR12" s="9">
        <v>1</v>
      </c>
      <c r="AS12" s="9"/>
      <c r="AT12" s="9">
        <v>7</v>
      </c>
      <c r="AU12" s="9">
        <v>1</v>
      </c>
    </row>
    <row r="13" spans="1:47" x14ac:dyDescent="0.7">
      <c r="A13" s="2">
        <v>4</v>
      </c>
      <c r="B13" s="8" t="s">
        <v>103</v>
      </c>
      <c r="C13" s="10">
        <f>IF(D13="","",VLOOKUP(D13,データ!A:C,2,FALSE))</f>
        <v>18</v>
      </c>
      <c r="D13" s="7" t="s">
        <v>262</v>
      </c>
      <c r="E13" s="9">
        <v>5</v>
      </c>
      <c r="F13" s="10">
        <f t="shared" si="0"/>
        <v>5</v>
      </c>
      <c r="G13" s="10">
        <f t="shared" si="1"/>
        <v>0</v>
      </c>
      <c r="H13" s="9">
        <v>1</v>
      </c>
      <c r="I13" s="9"/>
      <c r="J13" s="9"/>
      <c r="K13" s="9"/>
      <c r="L13" s="9"/>
      <c r="M13" s="9"/>
      <c r="N13" s="9"/>
      <c r="O13" s="9"/>
      <c r="P13" s="9"/>
      <c r="Q13" s="9">
        <v>1</v>
      </c>
      <c r="R13" s="9"/>
      <c r="S13" s="9"/>
      <c r="T13" s="9"/>
      <c r="U13" s="9"/>
      <c r="V13" s="9"/>
      <c r="W13" s="9"/>
      <c r="X13" s="9"/>
      <c r="Y13" s="9">
        <v>11</v>
      </c>
      <c r="Z13" s="9">
        <v>2</v>
      </c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105</v>
      </c>
      <c r="C14" s="10">
        <f>IF(D14="","",VLOOKUP(D14,データ!A:C,2,FALSE))</f>
        <v>46</v>
      </c>
      <c r="D14" s="7" t="s">
        <v>181</v>
      </c>
      <c r="E14" s="9">
        <v>4</v>
      </c>
      <c r="F14" s="10">
        <f t="shared" si="0"/>
        <v>3</v>
      </c>
      <c r="G14" s="10">
        <f t="shared" si="1"/>
        <v>2</v>
      </c>
      <c r="H14" s="9">
        <v>1</v>
      </c>
      <c r="I14" s="9">
        <v>1</v>
      </c>
      <c r="J14" s="9">
        <v>1</v>
      </c>
      <c r="K14" s="9">
        <v>1</v>
      </c>
      <c r="L14" s="9"/>
      <c r="M14" s="9"/>
      <c r="N14" s="9"/>
      <c r="O14" s="9">
        <v>1</v>
      </c>
      <c r="P14" s="9"/>
      <c r="Q14" s="9"/>
      <c r="R14" s="9">
        <v>1</v>
      </c>
      <c r="S14" s="9"/>
      <c r="T14" s="9"/>
      <c r="U14" s="9"/>
      <c r="V14" s="9"/>
      <c r="W14" s="9"/>
      <c r="X14" s="9"/>
      <c r="Y14" s="9">
        <v>7</v>
      </c>
      <c r="Z14" s="9">
        <v>2</v>
      </c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109</v>
      </c>
      <c r="C15" s="10">
        <f>IF(D15="","",VLOOKUP(D15,データ!A:C,2,FALSE))</f>
        <v>5</v>
      </c>
      <c r="D15" s="7" t="s">
        <v>256</v>
      </c>
      <c r="E15" s="9">
        <v>4</v>
      </c>
      <c r="F15" s="10">
        <f t="shared" si="0"/>
        <v>2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>
        <v>1</v>
      </c>
      <c r="R15" s="9">
        <v>2</v>
      </c>
      <c r="S15" s="9"/>
      <c r="T15" s="9"/>
      <c r="U15" s="9"/>
      <c r="V15" s="9"/>
      <c r="W15" s="9"/>
      <c r="X15" s="9"/>
      <c r="Y15" s="9">
        <v>1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106</v>
      </c>
      <c r="C16" s="10">
        <f>IF(D16="","",VLOOKUP(D16,データ!A:C,2,FALSE))</f>
        <v>17</v>
      </c>
      <c r="D16" s="7" t="s">
        <v>260</v>
      </c>
      <c r="E16" s="9">
        <v>4</v>
      </c>
      <c r="F16" s="10">
        <f t="shared" si="0"/>
        <v>4</v>
      </c>
      <c r="G16" s="10">
        <f t="shared" si="1"/>
        <v>1</v>
      </c>
      <c r="H16" s="9">
        <v>1</v>
      </c>
      <c r="I16" s="9"/>
      <c r="J16" s="9">
        <v>1</v>
      </c>
      <c r="K16" s="9"/>
      <c r="L16" s="9"/>
      <c r="M16" s="9"/>
      <c r="N16" s="9">
        <v>1</v>
      </c>
      <c r="O16" s="9"/>
      <c r="P16" s="9"/>
      <c r="Q16" s="9">
        <v>2</v>
      </c>
      <c r="R16" s="9"/>
      <c r="S16" s="9"/>
      <c r="T16" s="9"/>
      <c r="U16" s="9"/>
      <c r="V16" s="9"/>
      <c r="W16" s="9"/>
      <c r="X16" s="9"/>
      <c r="Y16" s="9">
        <v>1</v>
      </c>
      <c r="Z16" s="9">
        <v>4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101</v>
      </c>
      <c r="C17" s="10">
        <f>IF(D17="","",VLOOKUP(D17,データ!A:C,2,FALSE))</f>
        <v>33</v>
      </c>
      <c r="D17" s="7" t="s">
        <v>241</v>
      </c>
      <c r="E17" s="9">
        <v>3</v>
      </c>
      <c r="F17" s="10">
        <f t="shared" si="0"/>
        <v>3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>
        <v>1</v>
      </c>
      <c r="Z17" s="9">
        <v>1</v>
      </c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108</v>
      </c>
      <c r="C18" s="10">
        <f>IF(D18="","",VLOOKUP(D18,データ!A:C,2,FALSE))</f>
        <v>9</v>
      </c>
      <c r="D18" s="7" t="s">
        <v>268</v>
      </c>
      <c r="E18" s="9">
        <v>4</v>
      </c>
      <c r="F18" s="10">
        <f t="shared" si="0"/>
        <v>4</v>
      </c>
      <c r="G18" s="10">
        <f t="shared" si="1"/>
        <v>0</v>
      </c>
      <c r="H18" s="9"/>
      <c r="I18" s="9"/>
      <c r="J18" s="9"/>
      <c r="K18" s="9"/>
      <c r="L18" s="9"/>
      <c r="M18" s="9"/>
      <c r="N18" s="9">
        <v>1</v>
      </c>
      <c r="O18" s="9"/>
      <c r="P18" s="9"/>
      <c r="Q18" s="9">
        <v>2</v>
      </c>
      <c r="R18" s="9"/>
      <c r="S18" s="9"/>
      <c r="T18" s="9"/>
      <c r="U18" s="9"/>
      <c r="V18" s="9"/>
      <c r="W18" s="9"/>
      <c r="X18" s="9"/>
      <c r="Y18" s="9">
        <v>1</v>
      </c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104</v>
      </c>
      <c r="C19" s="10">
        <f>IF(D19="","",VLOOKUP(D19,データ!A:C,2,FALSE))</f>
        <v>51</v>
      </c>
      <c r="D19" s="7" t="s">
        <v>245</v>
      </c>
      <c r="E19" s="9">
        <v>2</v>
      </c>
      <c r="F19" s="10">
        <f t="shared" si="0"/>
        <v>2</v>
      </c>
      <c r="G19" s="10">
        <f t="shared" si="1"/>
        <v>0</v>
      </c>
      <c r="H19" s="9">
        <v>1</v>
      </c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107</v>
      </c>
      <c r="C20" s="10">
        <f>IF(D20="","",VLOOKUP(D20,データ!A:C,2,FALSE))</f>
        <v>85</v>
      </c>
      <c r="D20" s="7" t="s">
        <v>266</v>
      </c>
      <c r="E20" s="9">
        <v>1</v>
      </c>
      <c r="F20" s="10">
        <f t="shared" si="0"/>
        <v>1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40</v>
      </c>
      <c r="F30" s="1">
        <f t="shared" si="3"/>
        <v>37</v>
      </c>
      <c r="G30" s="1">
        <f t="shared" si="3"/>
        <v>5</v>
      </c>
      <c r="H30" s="1">
        <f t="shared" si="3"/>
        <v>9</v>
      </c>
      <c r="I30" s="1">
        <f t="shared" si="3"/>
        <v>1</v>
      </c>
      <c r="J30" s="1">
        <f t="shared" si="3"/>
        <v>4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5</v>
      </c>
      <c r="O30" s="1">
        <f t="shared" si="3"/>
        <v>1</v>
      </c>
      <c r="P30" s="1">
        <f t="shared" si="3"/>
        <v>2</v>
      </c>
      <c r="Q30" s="1">
        <f t="shared" si="3"/>
        <v>14</v>
      </c>
      <c r="R30" s="1">
        <f t="shared" si="3"/>
        <v>3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27</v>
      </c>
      <c r="Z30" s="1">
        <f t="shared" si="3"/>
        <v>18</v>
      </c>
      <c r="AA30" s="1">
        <f t="shared" si="3"/>
        <v>4</v>
      </c>
      <c r="AJ30" s="1">
        <f t="shared" ref="AJ30:AU30" si="4">SUM(AJ10:AJ29)</f>
        <v>9</v>
      </c>
      <c r="AK30" s="1">
        <f t="shared" si="4"/>
        <v>0</v>
      </c>
      <c r="AL30" s="1">
        <f t="shared" si="4"/>
        <v>178</v>
      </c>
      <c r="AM30" s="1">
        <f t="shared" si="4"/>
        <v>8</v>
      </c>
      <c r="AN30" s="1">
        <f t="shared" si="4"/>
        <v>5</v>
      </c>
      <c r="AO30" s="1">
        <f t="shared" si="4"/>
        <v>48</v>
      </c>
      <c r="AP30" s="1">
        <f t="shared" si="4"/>
        <v>5</v>
      </c>
      <c r="AQ30" s="1">
        <f t="shared" si="4"/>
        <v>9</v>
      </c>
      <c r="AR30" s="1">
        <f>SUM(AR10:AR29)</f>
        <v>2</v>
      </c>
      <c r="AS30" s="1">
        <f>SUM(AS10:AS29)</f>
        <v>0</v>
      </c>
      <c r="AT30" s="1">
        <f>SUM(AT10:AT29)</f>
        <v>10</v>
      </c>
      <c r="AU30" s="1">
        <f t="shared" si="4"/>
        <v>1</v>
      </c>
    </row>
    <row r="31" spans="1:47" ht="14.25" x14ac:dyDescent="0.7">
      <c r="D31" s="1">
        <f>G30/F30</f>
        <v>0.13513513513513514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5</v>
      </c>
      <c r="F41" s="1">
        <f t="shared" si="5"/>
        <v>5</v>
      </c>
      <c r="G41" s="1">
        <f t="shared" si="5"/>
        <v>0</v>
      </c>
      <c r="H41" s="1">
        <f t="shared" si="5"/>
        <v>2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1</v>
      </c>
      <c r="O41" s="1">
        <f t="shared" si="5"/>
        <v>0</v>
      </c>
      <c r="P41" s="1">
        <f t="shared" si="5"/>
        <v>1</v>
      </c>
      <c r="Q41" s="1">
        <f t="shared" si="5"/>
        <v>2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4</v>
      </c>
      <c r="Z41" s="1">
        <f t="shared" si="6"/>
        <v>6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5</v>
      </c>
      <c r="AK41" s="1">
        <f t="shared" si="7"/>
        <v>0</v>
      </c>
      <c r="AL41" s="1">
        <f t="shared" si="7"/>
        <v>92</v>
      </c>
      <c r="AM41" s="1">
        <f t="shared" si="7"/>
        <v>6</v>
      </c>
      <c r="AN41" s="1">
        <f t="shared" si="7"/>
        <v>3</v>
      </c>
      <c r="AO41" s="1">
        <f t="shared" si="7"/>
        <v>27</v>
      </c>
      <c r="AP41" s="1">
        <f t="shared" si="7"/>
        <v>3</v>
      </c>
      <c r="AQ41" s="1">
        <f t="shared" si="7"/>
        <v>3</v>
      </c>
      <c r="AR41" s="1">
        <f t="shared" si="7"/>
        <v>1</v>
      </c>
      <c r="AS41" s="1">
        <f t="shared" si="7"/>
        <v>0</v>
      </c>
      <c r="AT41" s="1">
        <f t="shared" ref="AN41:AU56" si="8">IFERROR(VLOOKUP($D41,$AC$10:$AU$29,AT$71,FALSE),0)</f>
        <v>7</v>
      </c>
      <c r="AU41" s="1">
        <f t="shared" si="8"/>
        <v>1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4</v>
      </c>
      <c r="F43" s="1">
        <f t="shared" si="5"/>
        <v>2</v>
      </c>
      <c r="G43" s="1">
        <f t="shared" si="5"/>
        <v>0</v>
      </c>
      <c r="H43" s="1">
        <f t="shared" si="5"/>
        <v>1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1</v>
      </c>
      <c r="R43" s="1">
        <f t="shared" si="5"/>
        <v>2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5</v>
      </c>
      <c r="F44" s="1">
        <f t="shared" si="5"/>
        <v>5</v>
      </c>
      <c r="G44" s="1">
        <f t="shared" si="5"/>
        <v>0</v>
      </c>
      <c r="H44" s="1">
        <f t="shared" si="5"/>
        <v>1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1</v>
      </c>
      <c r="O44" s="1">
        <f t="shared" si="5"/>
        <v>0</v>
      </c>
      <c r="P44" s="1">
        <f t="shared" si="5"/>
        <v>0</v>
      </c>
      <c r="Q44" s="1">
        <f t="shared" si="5"/>
        <v>3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2</v>
      </c>
      <c r="AA44" s="1">
        <f t="shared" si="6"/>
        <v>3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4</v>
      </c>
      <c r="F46" s="1">
        <f t="shared" si="5"/>
        <v>4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1</v>
      </c>
      <c r="O46" s="1">
        <f t="shared" si="5"/>
        <v>0</v>
      </c>
      <c r="P46" s="1">
        <f t="shared" si="5"/>
        <v>0</v>
      </c>
      <c r="Q46" s="1">
        <f t="shared" si="5"/>
        <v>2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1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4</v>
      </c>
      <c r="F49" s="1">
        <f t="shared" si="5"/>
        <v>4</v>
      </c>
      <c r="G49" s="1">
        <f t="shared" si="5"/>
        <v>1</v>
      </c>
      <c r="H49" s="1">
        <f t="shared" si="5"/>
        <v>1</v>
      </c>
      <c r="I49" s="1">
        <f t="shared" si="5"/>
        <v>0</v>
      </c>
      <c r="J49" s="1">
        <f t="shared" si="5"/>
        <v>1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1</v>
      </c>
      <c r="O49" s="1">
        <f t="shared" si="5"/>
        <v>0</v>
      </c>
      <c r="P49" s="1">
        <f t="shared" si="5"/>
        <v>0</v>
      </c>
      <c r="Q49" s="1">
        <f t="shared" si="5"/>
        <v>2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1</v>
      </c>
      <c r="Z49" s="1">
        <f t="shared" si="6"/>
        <v>4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5</v>
      </c>
      <c r="F50" s="1">
        <f t="shared" si="5"/>
        <v>5</v>
      </c>
      <c r="G50" s="1">
        <f t="shared" si="5"/>
        <v>0</v>
      </c>
      <c r="H50" s="1">
        <f t="shared" si="5"/>
        <v>1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1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11</v>
      </c>
      <c r="Z50" s="1">
        <f t="shared" si="6"/>
        <v>2</v>
      </c>
      <c r="AA50" s="1">
        <f t="shared" si="6"/>
        <v>0</v>
      </c>
      <c r="AD50" s="1">
        <f t="shared" si="7"/>
        <v>1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1</v>
      </c>
      <c r="AK50" s="1">
        <f t="shared" si="7"/>
        <v>0</v>
      </c>
      <c r="AL50" s="1">
        <f t="shared" si="7"/>
        <v>40</v>
      </c>
      <c r="AM50" s="1">
        <f t="shared" si="7"/>
        <v>2</v>
      </c>
      <c r="AN50" s="1">
        <f t="shared" si="8"/>
        <v>2</v>
      </c>
      <c r="AO50" s="1">
        <f t="shared" si="8"/>
        <v>8</v>
      </c>
      <c r="AP50" s="1">
        <f t="shared" si="8"/>
        <v>1</v>
      </c>
      <c r="AQ50" s="1">
        <f t="shared" si="8"/>
        <v>4</v>
      </c>
      <c r="AR50" s="1">
        <f t="shared" si="8"/>
        <v>0</v>
      </c>
      <c r="AS50" s="1">
        <f t="shared" si="8"/>
        <v>0</v>
      </c>
      <c r="AT50" s="1">
        <f t="shared" si="8"/>
        <v>2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0</v>
      </c>
      <c r="H56" s="1">
        <f t="shared" si="5"/>
        <v>1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1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3</v>
      </c>
      <c r="AK56" s="1">
        <f t="shared" si="7"/>
        <v>0</v>
      </c>
      <c r="AL56" s="1">
        <f t="shared" si="7"/>
        <v>46</v>
      </c>
      <c r="AM56" s="1">
        <f t="shared" si="7"/>
        <v>0</v>
      </c>
      <c r="AN56" s="1">
        <f t="shared" si="7"/>
        <v>0</v>
      </c>
      <c r="AO56" s="1">
        <f t="shared" si="7"/>
        <v>13</v>
      </c>
      <c r="AP56" s="1">
        <f t="shared" si="7"/>
        <v>1</v>
      </c>
      <c r="AQ56" s="1">
        <f t="shared" si="7"/>
        <v>2</v>
      </c>
      <c r="AR56" s="1">
        <f t="shared" si="7"/>
        <v>1</v>
      </c>
      <c r="AS56" s="1">
        <f t="shared" si="7"/>
        <v>0</v>
      </c>
      <c r="AT56" s="1">
        <f t="shared" si="8"/>
        <v>1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4</v>
      </c>
      <c r="F57" s="1">
        <f t="shared" si="10"/>
        <v>3</v>
      </c>
      <c r="G57" s="1">
        <f t="shared" si="10"/>
        <v>2</v>
      </c>
      <c r="H57" s="1">
        <f t="shared" si="10"/>
        <v>1</v>
      </c>
      <c r="I57" s="1">
        <f t="shared" si="10"/>
        <v>1</v>
      </c>
      <c r="J57" s="1">
        <f t="shared" si="10"/>
        <v>1</v>
      </c>
      <c r="K57" s="1">
        <f t="shared" si="10"/>
        <v>1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1</v>
      </c>
      <c r="P57" s="1">
        <f t="shared" si="10"/>
        <v>0</v>
      </c>
      <c r="Q57" s="1">
        <f t="shared" si="10"/>
        <v>0</v>
      </c>
      <c r="R57" s="1">
        <f t="shared" si="10"/>
        <v>1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7</v>
      </c>
      <c r="Z57" s="1">
        <f t="shared" si="11"/>
        <v>2</v>
      </c>
      <c r="AA57" s="1">
        <f t="shared" si="11"/>
        <v>1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2</v>
      </c>
      <c r="F60" s="1">
        <f t="shared" si="10"/>
        <v>2</v>
      </c>
      <c r="G60" s="1">
        <f t="shared" si="10"/>
        <v>0</v>
      </c>
      <c r="H60" s="1">
        <f t="shared" si="10"/>
        <v>1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1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3</v>
      </c>
      <c r="G61" s="1">
        <f t="shared" si="10"/>
        <v>2</v>
      </c>
      <c r="H61" s="1">
        <f t="shared" si="10"/>
        <v>0</v>
      </c>
      <c r="I61" s="1">
        <f t="shared" si="10"/>
        <v>0</v>
      </c>
      <c r="J61" s="1">
        <f t="shared" si="10"/>
        <v>2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0</v>
      </c>
      <c r="P61" s="1">
        <f t="shared" si="10"/>
        <v>1</v>
      </c>
      <c r="Q61" s="1">
        <f t="shared" si="10"/>
        <v>1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1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1</v>
      </c>
      <c r="F62" s="1">
        <f t="shared" si="10"/>
        <v>1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1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0</v>
      </c>
      <c r="F63" s="1">
        <f t="shared" si="10"/>
        <v>0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0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勝敗" prompt="勝敗を選択してください" sqref="C4:C6" xr:uid="{A2F5126C-C90E-4383-BD37-B417A4724354}">
      <formula1>"○,●,△"</formula1>
    </dataValidation>
    <dataValidation type="date" allowBlank="1" showInputMessage="1" showErrorMessage="1" promptTitle="日付入力" prompt="日付を入力してください" sqref="A2:D2" xr:uid="{5F78B095-2DF7-47D5-9A51-DFD4E07615D9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95EB5721-07FD-481B-8B03-638B7703EE3D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179225D4-2BA2-4364-8C11-55491187EA14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F2F1054F-4B0E-4408-BEB3-41D86CFF55A5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F1915A99-6F47-4AAA-909B-92DFE9692B6C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34370C8C-52C2-4AA5-BEA3-5992399992DC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17F8FFBD-7C76-42BE-9FDD-90302A17C115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5B708DD3-F18C-416E-BADA-CC5C4E1C4869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7B53C9C1-BE3B-429E-B4AE-1C96ED70D066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07A79C2A-24D9-458F-8972-2310CE033A50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79DC2BD4-683C-4D47-BA25-B0AA51E49162}">
          <x14:formula1>
            <xm:f>データ!$A:$A</xm:f>
          </x14:formula1>
          <xm:sqref>D41:D70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33C49-2285-4984-8BC6-C5D701EF39DB}">
  <sheetPr codeName="Sheet21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45591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87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0.5625</v>
      </c>
      <c r="AD2" s="17" t="s">
        <v>46</v>
      </c>
      <c r="AE2" s="92">
        <v>0.625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187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0</v>
      </c>
      <c r="J5" s="2">
        <v>1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1</v>
      </c>
      <c r="U5" s="10">
        <f>IF(D5="九州工業大学",G30,AT30)</f>
        <v>4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87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1</v>
      </c>
      <c r="M6" s="2">
        <v>0</v>
      </c>
      <c r="N6" s="2"/>
      <c r="O6" s="2"/>
      <c r="P6" s="2"/>
      <c r="Q6" s="2"/>
      <c r="R6" s="2"/>
      <c r="S6" s="2"/>
      <c r="T6" s="10">
        <f>SUM(G6:S6)</f>
        <v>1</v>
      </c>
      <c r="U6" s="10">
        <f>IF(D6="九州工業大学",G30,AT30)</f>
        <v>1</v>
      </c>
      <c r="V6" s="10">
        <f>IF(D6="九州工業大学",AA30,N30)</f>
        <v>0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106</v>
      </c>
      <c r="C10" s="10">
        <f>IF(D10="","",VLOOKUP(D10,データ!A:C,2,FALSE))</f>
        <v>99</v>
      </c>
      <c r="D10" s="7" t="s">
        <v>247</v>
      </c>
      <c r="E10" s="9">
        <v>3</v>
      </c>
      <c r="F10" s="10">
        <f>IF(D10="","",E10-R10-S10-W10-X10)</f>
        <v>3</v>
      </c>
      <c r="G10" s="10">
        <f>IF(D10="","",SUM(J10:M10))</f>
        <v>0</v>
      </c>
      <c r="H10" s="9">
        <v>1</v>
      </c>
      <c r="I10" s="9"/>
      <c r="J10" s="9"/>
      <c r="K10" s="9"/>
      <c r="L10" s="9"/>
      <c r="M10" s="9"/>
      <c r="N10" s="9"/>
      <c r="O10" s="9"/>
      <c r="P10" s="9"/>
      <c r="Q10" s="9">
        <v>2</v>
      </c>
      <c r="R10" s="9"/>
      <c r="S10" s="9"/>
      <c r="T10" s="9"/>
      <c r="U10" s="9"/>
      <c r="V10" s="9"/>
      <c r="W10" s="9"/>
      <c r="X10" s="9"/>
      <c r="Y10" s="9">
        <v>1</v>
      </c>
      <c r="Z10" s="9"/>
      <c r="AA10" s="9"/>
      <c r="AB10" s="10">
        <f>IF(AC10="","",VLOOKUP(AC10,データ!A:C,2,FALSE))</f>
        <v>1</v>
      </c>
      <c r="AC10" s="7" t="s">
        <v>229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7</v>
      </c>
      <c r="AK10" s="9"/>
      <c r="AL10" s="9">
        <v>71</v>
      </c>
      <c r="AM10" s="9">
        <v>1</v>
      </c>
      <c r="AN10" s="9">
        <v>1</v>
      </c>
      <c r="AO10" s="9">
        <v>25</v>
      </c>
      <c r="AP10" s="9">
        <v>4</v>
      </c>
      <c r="AQ10" s="9">
        <v>3</v>
      </c>
      <c r="AR10" s="9"/>
      <c r="AS10" s="9">
        <v>1</v>
      </c>
      <c r="AT10" s="9">
        <v>1</v>
      </c>
      <c r="AU10" s="9"/>
    </row>
    <row r="11" spans="1:47" x14ac:dyDescent="0.7">
      <c r="A11" s="2">
        <v>2</v>
      </c>
      <c r="B11" s="8" t="s">
        <v>104</v>
      </c>
      <c r="C11" s="10">
        <f>IF(D11="","",VLOOKUP(D11,データ!A:C,2,FALSE))</f>
        <v>53</v>
      </c>
      <c r="D11" s="7" t="s">
        <v>259</v>
      </c>
      <c r="E11" s="9">
        <v>3</v>
      </c>
      <c r="F11" s="10">
        <f t="shared" ref="F11:F29" si="0">IF(D11="","",E11-R11-S11-W11-X11)</f>
        <v>3</v>
      </c>
      <c r="G11" s="10">
        <f t="shared" ref="G11:G29" si="1">IF(D11="","",SUM(J11:M11))</f>
        <v>2</v>
      </c>
      <c r="H11" s="9"/>
      <c r="I11" s="9"/>
      <c r="J11" s="9">
        <v>1</v>
      </c>
      <c r="K11" s="9"/>
      <c r="L11" s="9">
        <v>1</v>
      </c>
      <c r="M11" s="9"/>
      <c r="N11" s="9"/>
      <c r="O11" s="9"/>
      <c r="P11" s="9">
        <v>1</v>
      </c>
      <c r="Q11" s="9"/>
      <c r="R11" s="9"/>
      <c r="S11" s="9"/>
      <c r="T11" s="9"/>
      <c r="U11" s="9"/>
      <c r="V11" s="9"/>
      <c r="W11" s="9"/>
      <c r="X11" s="9"/>
      <c r="Y11" s="9">
        <v>1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326</v>
      </c>
      <c r="C12" s="10">
        <f>IF(D12="","",VLOOKUP(D12,データ!A:C,2,FALSE))</f>
        <v>21</v>
      </c>
      <c r="D12" s="7" t="s">
        <v>231</v>
      </c>
      <c r="E12" s="9">
        <v>3</v>
      </c>
      <c r="F12" s="10">
        <f t="shared" si="0"/>
        <v>3</v>
      </c>
      <c r="G12" s="10">
        <f t="shared" si="1"/>
        <v>2</v>
      </c>
      <c r="H12" s="9">
        <v>1</v>
      </c>
      <c r="I12" s="9">
        <v>1</v>
      </c>
      <c r="J12" s="9">
        <v>1</v>
      </c>
      <c r="K12" s="9">
        <v>1</v>
      </c>
      <c r="L12" s="9"/>
      <c r="M12" s="9"/>
      <c r="N12" s="9"/>
      <c r="O12" s="9">
        <v>1</v>
      </c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3</v>
      </c>
      <c r="D13" s="7" t="s">
        <v>237</v>
      </c>
      <c r="E13" s="9">
        <v>3</v>
      </c>
      <c r="F13" s="10">
        <f t="shared" si="0"/>
        <v>3</v>
      </c>
      <c r="G13" s="10">
        <f t="shared" si="1"/>
        <v>0</v>
      </c>
      <c r="H13" s="9">
        <v>2</v>
      </c>
      <c r="I13" s="9"/>
      <c r="J13" s="9"/>
      <c r="K13" s="9"/>
      <c r="L13" s="9"/>
      <c r="M13" s="9"/>
      <c r="N13" s="9"/>
      <c r="O13" s="9"/>
      <c r="P13" s="9"/>
      <c r="Q13" s="9">
        <v>2</v>
      </c>
      <c r="R13" s="9"/>
      <c r="S13" s="9"/>
      <c r="T13" s="9"/>
      <c r="U13" s="9"/>
      <c r="V13" s="9"/>
      <c r="W13" s="9"/>
      <c r="X13" s="9"/>
      <c r="Y13" s="9">
        <v>4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108</v>
      </c>
      <c r="C14" s="10">
        <f>IF(D14="","",VLOOKUP(D14,データ!A:C,2,FALSE))</f>
        <v>9</v>
      </c>
      <c r="D14" s="7" t="s">
        <v>318</v>
      </c>
      <c r="E14" s="9">
        <v>3</v>
      </c>
      <c r="F14" s="10">
        <f t="shared" si="0"/>
        <v>3</v>
      </c>
      <c r="G14" s="10">
        <f t="shared" si="1"/>
        <v>0</v>
      </c>
      <c r="H14" s="9">
        <v>2</v>
      </c>
      <c r="I14" s="9"/>
      <c r="J14" s="9"/>
      <c r="K14" s="9"/>
      <c r="L14" s="9"/>
      <c r="M14" s="9"/>
      <c r="N14" s="9"/>
      <c r="O14" s="9"/>
      <c r="P14" s="9"/>
      <c r="Q14" s="9">
        <v>1</v>
      </c>
      <c r="R14" s="9"/>
      <c r="S14" s="9"/>
      <c r="T14" s="9"/>
      <c r="U14" s="9"/>
      <c r="V14" s="9"/>
      <c r="W14" s="9"/>
      <c r="X14" s="9"/>
      <c r="Y14" s="9">
        <v>2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99</v>
      </c>
      <c r="C15" s="10">
        <f>IF(D15="","",VLOOKUP(D15,データ!A:C,2,FALSE))</f>
        <v>33</v>
      </c>
      <c r="D15" s="7" t="s">
        <v>241</v>
      </c>
      <c r="E15" s="9">
        <v>3</v>
      </c>
      <c r="F15" s="10">
        <f t="shared" si="0"/>
        <v>3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>
        <v>2</v>
      </c>
      <c r="R15" s="9"/>
      <c r="S15" s="9"/>
      <c r="T15" s="9"/>
      <c r="U15" s="9"/>
      <c r="V15" s="9"/>
      <c r="W15" s="9"/>
      <c r="X15" s="9"/>
      <c r="Y15" s="9">
        <v>2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105</v>
      </c>
      <c r="C16" s="10">
        <f>IF(D16="","",VLOOKUP(D16,データ!A:C,2,FALSE))</f>
        <v>12</v>
      </c>
      <c r="D16" s="7" t="s">
        <v>235</v>
      </c>
      <c r="E16" s="9">
        <v>3</v>
      </c>
      <c r="F16" s="10">
        <f t="shared" si="0"/>
        <v>2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>
        <v>1</v>
      </c>
      <c r="S16" s="9"/>
      <c r="T16" s="9"/>
      <c r="U16" s="9"/>
      <c r="V16" s="9"/>
      <c r="W16" s="9"/>
      <c r="X16" s="9"/>
      <c r="Y16" s="9">
        <v>4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109</v>
      </c>
      <c r="C17" s="10">
        <f>IF(D17="","",VLOOKUP(D17,データ!A:C,2,FALSE))</f>
        <v>18</v>
      </c>
      <c r="D17" s="7" t="s">
        <v>262</v>
      </c>
      <c r="E17" s="9">
        <v>3</v>
      </c>
      <c r="F17" s="10">
        <f t="shared" si="0"/>
        <v>3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/>
      <c r="O17" s="9"/>
      <c r="P17" s="9"/>
      <c r="Q17" s="9">
        <v>3</v>
      </c>
      <c r="R17" s="9"/>
      <c r="S17" s="9"/>
      <c r="T17" s="9"/>
      <c r="U17" s="9"/>
      <c r="V17" s="9"/>
      <c r="W17" s="9"/>
      <c r="X17" s="9"/>
      <c r="Y17" s="9">
        <v>2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107</v>
      </c>
      <c r="C18" s="10">
        <f>IF(D18="","",VLOOKUP(D18,データ!A:C,2,FALSE))</f>
        <v>5</v>
      </c>
      <c r="D18" s="7" t="s">
        <v>256</v>
      </c>
      <c r="E18" s="9">
        <v>2</v>
      </c>
      <c r="F18" s="10">
        <f t="shared" si="0"/>
        <v>2</v>
      </c>
      <c r="G18" s="10">
        <f t="shared" si="1"/>
        <v>0</v>
      </c>
      <c r="H18" s="9">
        <v>1</v>
      </c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>
        <v>3</v>
      </c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101</v>
      </c>
      <c r="C19" s="10">
        <f>IF(D19="","",VLOOKUP(D19,データ!A:C,2,FALSE))</f>
        <v>1</v>
      </c>
      <c r="D19" s="7" t="s">
        <v>229</v>
      </c>
      <c r="E19" s="9"/>
      <c r="F19" s="10">
        <f t="shared" si="0"/>
        <v>0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>
        <v>2</v>
      </c>
      <c r="Z19" s="9">
        <v>2</v>
      </c>
      <c r="AA19" s="9">
        <v>1</v>
      </c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107</v>
      </c>
      <c r="C20" s="10">
        <f>IF(D20="","",VLOOKUP(D20,データ!A:C,2,FALSE))</f>
        <v>51</v>
      </c>
      <c r="D20" s="7" t="s">
        <v>245</v>
      </c>
      <c r="E20" s="9"/>
      <c r="F20" s="10">
        <f t="shared" si="0"/>
        <v>0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>
        <v>1</v>
      </c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26</v>
      </c>
      <c r="F30" s="1">
        <f t="shared" si="3"/>
        <v>25</v>
      </c>
      <c r="G30" s="1">
        <f t="shared" si="3"/>
        <v>4</v>
      </c>
      <c r="H30" s="1">
        <f t="shared" si="3"/>
        <v>9</v>
      </c>
      <c r="I30" s="1">
        <f t="shared" si="3"/>
        <v>1</v>
      </c>
      <c r="J30" s="1">
        <f t="shared" si="3"/>
        <v>2</v>
      </c>
      <c r="K30" s="1">
        <f t="shared" si="3"/>
        <v>1</v>
      </c>
      <c r="L30" s="1">
        <f t="shared" si="3"/>
        <v>1</v>
      </c>
      <c r="M30" s="1">
        <f t="shared" si="3"/>
        <v>0</v>
      </c>
      <c r="N30" s="1">
        <f t="shared" si="3"/>
        <v>0</v>
      </c>
      <c r="O30" s="1">
        <f t="shared" si="3"/>
        <v>1</v>
      </c>
      <c r="P30" s="1">
        <f t="shared" si="3"/>
        <v>1</v>
      </c>
      <c r="Q30" s="1">
        <f t="shared" si="3"/>
        <v>10</v>
      </c>
      <c r="R30" s="1">
        <f t="shared" si="3"/>
        <v>1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3</v>
      </c>
      <c r="AA30" s="1">
        <f t="shared" si="3"/>
        <v>1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71</v>
      </c>
      <c r="AM30" s="1">
        <f t="shared" si="4"/>
        <v>1</v>
      </c>
      <c r="AN30" s="1">
        <f t="shared" si="4"/>
        <v>1</v>
      </c>
      <c r="AO30" s="1">
        <f t="shared" si="4"/>
        <v>25</v>
      </c>
      <c r="AP30" s="1">
        <f t="shared" si="4"/>
        <v>4</v>
      </c>
      <c r="AQ30" s="1">
        <f t="shared" si="4"/>
        <v>3</v>
      </c>
      <c r="AR30" s="1">
        <f>SUM(AR10:AR29)</f>
        <v>0</v>
      </c>
      <c r="AS30" s="1">
        <f>SUM(AS10:AS29)</f>
        <v>1</v>
      </c>
      <c r="AT30" s="1">
        <f>SUM(AT10:AT29)</f>
        <v>1</v>
      </c>
      <c r="AU30" s="1">
        <f t="shared" si="4"/>
        <v>0</v>
      </c>
    </row>
    <row r="31" spans="1:47" ht="14.25" x14ac:dyDescent="0.7">
      <c r="D31" s="1">
        <f>G30/F30</f>
        <v>0.16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2</v>
      </c>
      <c r="Z41" s="1">
        <f t="shared" si="6"/>
        <v>2</v>
      </c>
      <c r="AA41" s="1">
        <f t="shared" si="6"/>
        <v>1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7</v>
      </c>
      <c r="AK41" s="1">
        <f t="shared" si="7"/>
        <v>0</v>
      </c>
      <c r="AL41" s="1">
        <f t="shared" si="7"/>
        <v>71</v>
      </c>
      <c r="AM41" s="1">
        <f t="shared" si="7"/>
        <v>1</v>
      </c>
      <c r="AN41" s="1">
        <f t="shared" si="7"/>
        <v>1</v>
      </c>
      <c r="AO41" s="1">
        <f t="shared" si="7"/>
        <v>25</v>
      </c>
      <c r="AP41" s="1">
        <f t="shared" si="7"/>
        <v>4</v>
      </c>
      <c r="AQ41" s="1">
        <f t="shared" si="7"/>
        <v>3</v>
      </c>
      <c r="AR41" s="1">
        <f t="shared" si="7"/>
        <v>0</v>
      </c>
      <c r="AS41" s="1">
        <f t="shared" si="7"/>
        <v>1</v>
      </c>
      <c r="AT41" s="1">
        <f t="shared" ref="AN41:AU56" si="8">IFERROR(VLOOKUP($D41,$AC$10:$AU$29,AT$71,FALSE),0)</f>
        <v>1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3</v>
      </c>
      <c r="F42" s="1">
        <f t="shared" si="5"/>
        <v>3</v>
      </c>
      <c r="G42" s="1">
        <f t="shared" si="5"/>
        <v>0</v>
      </c>
      <c r="H42" s="1">
        <f t="shared" si="5"/>
        <v>2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2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4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2</v>
      </c>
      <c r="G43" s="1">
        <f t="shared" si="5"/>
        <v>0</v>
      </c>
      <c r="H43" s="1">
        <f t="shared" si="5"/>
        <v>1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3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3</v>
      </c>
      <c r="F45" s="1">
        <f t="shared" si="5"/>
        <v>3</v>
      </c>
      <c r="G45" s="1">
        <f t="shared" si="5"/>
        <v>0</v>
      </c>
      <c r="H45" s="1">
        <f t="shared" si="5"/>
        <v>2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1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2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3</v>
      </c>
      <c r="F48" s="1">
        <f t="shared" si="5"/>
        <v>2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1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4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3</v>
      </c>
      <c r="F50" s="1">
        <f t="shared" si="5"/>
        <v>3</v>
      </c>
      <c r="G50" s="1">
        <f t="shared" si="5"/>
        <v>0</v>
      </c>
      <c r="H50" s="1">
        <f t="shared" si="5"/>
        <v>1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3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2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3</v>
      </c>
      <c r="G51" s="1">
        <f t="shared" si="5"/>
        <v>2</v>
      </c>
      <c r="H51" s="1">
        <f t="shared" si="5"/>
        <v>1</v>
      </c>
      <c r="I51" s="1">
        <f t="shared" si="5"/>
        <v>1</v>
      </c>
      <c r="J51" s="1">
        <f t="shared" si="5"/>
        <v>1</v>
      </c>
      <c r="K51" s="1">
        <f t="shared" si="5"/>
        <v>1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1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0</v>
      </c>
      <c r="H56" s="1">
        <f t="shared" si="5"/>
        <v>1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2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2</v>
      </c>
      <c r="Z56" s="1">
        <f t="shared" si="6"/>
        <v>0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1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3</v>
      </c>
      <c r="G61" s="1">
        <f t="shared" si="10"/>
        <v>2</v>
      </c>
      <c r="H61" s="1">
        <f t="shared" si="10"/>
        <v>0</v>
      </c>
      <c r="I61" s="1">
        <f t="shared" si="10"/>
        <v>0</v>
      </c>
      <c r="J61" s="1">
        <f t="shared" si="10"/>
        <v>1</v>
      </c>
      <c r="K61" s="1">
        <f t="shared" si="10"/>
        <v>0</v>
      </c>
      <c r="L61" s="1">
        <f t="shared" si="10"/>
        <v>1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1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2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F68035B7-05E2-481F-8FD3-D12DF941940F}">
      <formula1>"○,●,△"</formula1>
    </dataValidation>
    <dataValidation type="date" allowBlank="1" showInputMessage="1" showErrorMessage="1" promptTitle="日付入力" prompt="日付を入力してください" sqref="A2:D2" xr:uid="{B454B0FA-40F1-4048-AA9E-E8E191C46D0E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B4C4C9A4-7DE8-47AC-A775-799FB7E65C82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8FFDB85F-1A72-4E81-86E1-DEECE2D019F9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07C1FAF5-2FD6-404C-8B89-A2333218335A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C5305F38-2A2F-4182-9D03-3C4541B64302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DEA87682-FD88-4981-A414-7AE657E181E3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B7A53394-BB56-4994-82E3-B74296BDB0D5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FD6853A6-5B3C-41F4-8E66-60D98B51D59F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9C148D2D-7773-4967-B1CA-653150C4815D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3FD694F8-74D4-427A-B50A-3AE97FA9DA4E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A29EE400-C23A-4E72-96FC-3DBB2E801E90}">
          <x14:formula1>
            <xm:f>データ!$A:$A</xm:f>
          </x14:formula1>
          <xm:sqref>D41:D70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00F88-DD28-43B0-90E5-E17635828981}">
  <sheetPr codeName="Sheet7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45591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224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0.47916666666666669</v>
      </c>
      <c r="AD2" s="17" t="s">
        <v>46</v>
      </c>
      <c r="AE2" s="92">
        <v>0.54166666666666663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0</v>
      </c>
      <c r="U5" s="10">
        <f>IF(D5="九州工業大学",G30,AT30)</f>
        <v>4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224</v>
      </c>
      <c r="E6" s="95"/>
      <c r="F6" s="95"/>
      <c r="G6" s="2">
        <v>2</v>
      </c>
      <c r="H6" s="2">
        <v>0</v>
      </c>
      <c r="I6" s="2">
        <v>2</v>
      </c>
      <c r="J6" s="2">
        <v>0</v>
      </c>
      <c r="K6" s="2">
        <v>0</v>
      </c>
      <c r="L6" s="2">
        <v>1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5</v>
      </c>
      <c r="U6" s="10">
        <f>IF(D6="九州工業大学",G30,AT30)</f>
        <v>3</v>
      </c>
      <c r="V6" s="10">
        <f>IF(D6="九州工業大学",AA30,N30)</f>
        <v>0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108</v>
      </c>
      <c r="C10" s="10">
        <f>IF(D10="","",VLOOKUP(D10,データ!A:C,2,FALSE))</f>
        <v>9</v>
      </c>
      <c r="D10" s="7" t="s">
        <v>318</v>
      </c>
      <c r="E10" s="9">
        <v>2</v>
      </c>
      <c r="F10" s="10">
        <f>IF(D10="","",E10-R10-S10-W10-X10)</f>
        <v>2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/>
      <c r="O10" s="9"/>
      <c r="P10" s="9"/>
      <c r="Q10" s="9">
        <v>1</v>
      </c>
      <c r="R10" s="9"/>
      <c r="S10" s="9"/>
      <c r="T10" s="9"/>
      <c r="U10" s="9"/>
      <c r="V10" s="9"/>
      <c r="W10" s="9"/>
      <c r="X10" s="9"/>
      <c r="Y10" s="9"/>
      <c r="Z10" s="9"/>
      <c r="AA10" s="9"/>
      <c r="AB10" s="10">
        <f>IF(AC10="","",VLOOKUP(AC10,データ!A:C,2,FALSE))</f>
        <v>21</v>
      </c>
      <c r="AC10" s="7" t="s">
        <v>231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0</v>
      </c>
      <c r="AK10" s="9"/>
      <c r="AL10" s="9">
        <v>5</v>
      </c>
      <c r="AM10" s="9"/>
      <c r="AN10" s="9">
        <v>1</v>
      </c>
      <c r="AO10" s="9">
        <v>1</v>
      </c>
      <c r="AP10" s="9"/>
      <c r="AQ10" s="9">
        <v>1</v>
      </c>
      <c r="AR10" s="9"/>
      <c r="AS10" s="9"/>
      <c r="AT10" s="9"/>
      <c r="AU10" s="9"/>
    </row>
    <row r="11" spans="1:47" x14ac:dyDescent="0.7">
      <c r="A11" s="2">
        <v>2</v>
      </c>
      <c r="B11" s="8" t="s">
        <v>104</v>
      </c>
      <c r="C11" s="10">
        <f>IF(D11="","",VLOOKUP(D11,データ!A:C,2,FALSE))</f>
        <v>53</v>
      </c>
      <c r="D11" s="7" t="s">
        <v>259</v>
      </c>
      <c r="E11" s="9">
        <v>3</v>
      </c>
      <c r="F11" s="10">
        <f t="shared" ref="F11:F29" si="0">IF(D11="","",E11-R11-S11-W11-X11)</f>
        <v>3</v>
      </c>
      <c r="G11" s="10">
        <f t="shared" ref="G11:G29" si="1">IF(D11="","",SUM(J11:M11))</f>
        <v>0</v>
      </c>
      <c r="H11" s="9"/>
      <c r="I11" s="9"/>
      <c r="J11" s="9"/>
      <c r="K11" s="9"/>
      <c r="L11" s="9"/>
      <c r="M11" s="9"/>
      <c r="N11" s="9"/>
      <c r="O11" s="9"/>
      <c r="P11" s="9"/>
      <c r="Q11" s="9">
        <v>1</v>
      </c>
      <c r="R11" s="9"/>
      <c r="S11" s="9"/>
      <c r="T11" s="9"/>
      <c r="U11" s="9"/>
      <c r="V11" s="9"/>
      <c r="W11" s="9"/>
      <c r="X11" s="9"/>
      <c r="Y11" s="9">
        <v>1</v>
      </c>
      <c r="Z11" s="9"/>
      <c r="AA11" s="9"/>
      <c r="AB11" s="10">
        <f>IF(AC11="","",VLOOKUP(AC11,データ!A:C,2,FALSE))</f>
        <v>33</v>
      </c>
      <c r="AC11" s="7" t="s">
        <v>241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6</v>
      </c>
      <c r="AK11" s="9"/>
      <c r="AL11" s="9">
        <v>87</v>
      </c>
      <c r="AM11" s="9">
        <v>5</v>
      </c>
      <c r="AN11" s="9">
        <v>2</v>
      </c>
      <c r="AO11" s="9">
        <v>26</v>
      </c>
      <c r="AP11" s="9">
        <v>2</v>
      </c>
      <c r="AQ11" s="9">
        <v>3</v>
      </c>
      <c r="AR11" s="9">
        <v>2</v>
      </c>
      <c r="AS11" s="9">
        <v>2</v>
      </c>
      <c r="AT11" s="9">
        <v>3</v>
      </c>
      <c r="AU11" s="9">
        <v>1</v>
      </c>
    </row>
    <row r="12" spans="1:47" x14ac:dyDescent="0.7">
      <c r="A12" s="2">
        <v>3</v>
      </c>
      <c r="B12" s="8" t="s">
        <v>101</v>
      </c>
      <c r="C12" s="10">
        <f>IF(D12="","",VLOOKUP(D12,データ!A:C,2,FALSE))</f>
        <v>21</v>
      </c>
      <c r="D12" s="7" t="s">
        <v>231</v>
      </c>
      <c r="E12" s="9">
        <v>1</v>
      </c>
      <c r="F12" s="10">
        <f t="shared" si="0"/>
        <v>1</v>
      </c>
      <c r="G12" s="10">
        <f t="shared" si="1"/>
        <v>0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1</v>
      </c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3</v>
      </c>
      <c r="D13" s="7" t="s">
        <v>237</v>
      </c>
      <c r="E13" s="9">
        <v>3</v>
      </c>
      <c r="F13" s="10">
        <f t="shared" si="0"/>
        <v>3</v>
      </c>
      <c r="G13" s="10">
        <f t="shared" si="1"/>
        <v>1</v>
      </c>
      <c r="H13" s="9"/>
      <c r="I13" s="9"/>
      <c r="J13" s="9">
        <v>1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>
        <v>10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106</v>
      </c>
      <c r="C14" s="10">
        <f>IF(D14="","",VLOOKUP(D14,データ!A:C,2,FALSE))</f>
        <v>12</v>
      </c>
      <c r="D14" s="7" t="s">
        <v>235</v>
      </c>
      <c r="E14" s="9">
        <v>2</v>
      </c>
      <c r="F14" s="10">
        <f t="shared" si="0"/>
        <v>2</v>
      </c>
      <c r="G14" s="10">
        <f t="shared" si="1"/>
        <v>0</v>
      </c>
      <c r="H14" s="9"/>
      <c r="I14" s="9"/>
      <c r="J14" s="9"/>
      <c r="K14" s="9"/>
      <c r="L14" s="9"/>
      <c r="M14" s="9"/>
      <c r="N14" s="9"/>
      <c r="O14" s="9"/>
      <c r="P14" s="9"/>
      <c r="Q14" s="9">
        <v>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99</v>
      </c>
      <c r="C15" s="10">
        <f>IF(D15="","",VLOOKUP(D15,データ!A:C,2,FALSE))</f>
        <v>33</v>
      </c>
      <c r="D15" s="7" t="s">
        <v>241</v>
      </c>
      <c r="E15" s="9">
        <v>3</v>
      </c>
      <c r="F15" s="10">
        <f t="shared" si="0"/>
        <v>3</v>
      </c>
      <c r="G15" s="10">
        <f t="shared" si="1"/>
        <v>1</v>
      </c>
      <c r="H15" s="9">
        <v>1</v>
      </c>
      <c r="I15" s="9">
        <v>1</v>
      </c>
      <c r="J15" s="9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>
        <v>1</v>
      </c>
      <c r="W15" s="9"/>
      <c r="X15" s="9"/>
      <c r="Y15" s="9">
        <v>1</v>
      </c>
      <c r="Z15" s="9">
        <v>4</v>
      </c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109</v>
      </c>
      <c r="C16" s="10">
        <f>IF(D16="","",VLOOKUP(D16,データ!A:C,2,FALSE))</f>
        <v>1</v>
      </c>
      <c r="D16" s="7" t="s">
        <v>229</v>
      </c>
      <c r="E16" s="9">
        <v>2</v>
      </c>
      <c r="F16" s="10">
        <f t="shared" si="0"/>
        <v>2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>
        <v>2</v>
      </c>
      <c r="AA16" s="9">
        <v>1</v>
      </c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107</v>
      </c>
      <c r="C17" s="10">
        <f>IF(D17="","",VLOOKUP(D17,データ!A:C,2,FALSE))</f>
        <v>21</v>
      </c>
      <c r="D17" s="7" t="s">
        <v>250</v>
      </c>
      <c r="E17" s="9">
        <v>2</v>
      </c>
      <c r="F17" s="10">
        <f t="shared" si="0"/>
        <v>2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105</v>
      </c>
      <c r="C18" s="10">
        <f>IF(D18="","",VLOOKUP(D18,データ!A:C,2,FALSE))</f>
        <v>46</v>
      </c>
      <c r="D18" s="7" t="s">
        <v>181</v>
      </c>
      <c r="E18" s="9">
        <v>2</v>
      </c>
      <c r="F18" s="10">
        <f t="shared" si="0"/>
        <v>2</v>
      </c>
      <c r="G18" s="10">
        <f t="shared" si="1"/>
        <v>1</v>
      </c>
      <c r="H18" s="9"/>
      <c r="I18" s="9"/>
      <c r="J18" s="9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>
        <v>4</v>
      </c>
      <c r="Z18" s="9">
        <v>1</v>
      </c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100</v>
      </c>
      <c r="C19" s="10">
        <f>IF(D19="","",VLOOKUP(D19,データ!A:C,2,FALSE))</f>
        <v>18</v>
      </c>
      <c r="D19" s="7" t="s">
        <v>262</v>
      </c>
      <c r="E19" s="9">
        <v>1</v>
      </c>
      <c r="F19" s="10">
        <f t="shared" si="0"/>
        <v>0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>
        <v>1</v>
      </c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106</v>
      </c>
      <c r="C20" s="10">
        <f>IF(D20="","",VLOOKUP(D20,データ!A:C,2,FALSE))</f>
        <v>99</v>
      </c>
      <c r="D20" s="7" t="s">
        <v>247</v>
      </c>
      <c r="E20" s="9">
        <v>2</v>
      </c>
      <c r="F20" s="10">
        <f t="shared" si="0"/>
        <v>2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>
        <v>1</v>
      </c>
      <c r="Z20" s="9">
        <v>3</v>
      </c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100</v>
      </c>
      <c r="C21" s="10">
        <f>IF(D21="","",VLOOKUP(D21,データ!A:C,2,FALSE))</f>
        <v>7</v>
      </c>
      <c r="D21" s="7" t="s">
        <v>254</v>
      </c>
      <c r="E21" s="9">
        <v>1</v>
      </c>
      <c r="F21" s="10">
        <f t="shared" si="0"/>
        <v>1</v>
      </c>
      <c r="G21" s="10">
        <f t="shared" si="1"/>
        <v>1</v>
      </c>
      <c r="H21" s="9"/>
      <c r="I21" s="9"/>
      <c r="J21" s="9"/>
      <c r="K21" s="9">
        <v>1</v>
      </c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24</v>
      </c>
      <c r="F30" s="1">
        <f t="shared" si="3"/>
        <v>23</v>
      </c>
      <c r="G30" s="1">
        <f t="shared" si="3"/>
        <v>4</v>
      </c>
      <c r="H30" s="1">
        <f t="shared" si="3"/>
        <v>1</v>
      </c>
      <c r="I30" s="1">
        <f t="shared" si="3"/>
        <v>1</v>
      </c>
      <c r="J30" s="1">
        <f t="shared" si="3"/>
        <v>3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0</v>
      </c>
      <c r="O30" s="1">
        <f t="shared" si="3"/>
        <v>0</v>
      </c>
      <c r="P30" s="1">
        <f t="shared" si="3"/>
        <v>0</v>
      </c>
      <c r="Q30" s="1">
        <f t="shared" si="3"/>
        <v>4</v>
      </c>
      <c r="R30" s="1">
        <f t="shared" si="3"/>
        <v>1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1</v>
      </c>
      <c r="W30" s="1">
        <f t="shared" si="3"/>
        <v>0</v>
      </c>
      <c r="X30" s="1">
        <f t="shared" si="3"/>
        <v>0</v>
      </c>
      <c r="Y30" s="1">
        <f t="shared" si="3"/>
        <v>18</v>
      </c>
      <c r="Z30" s="1">
        <f t="shared" si="3"/>
        <v>10</v>
      </c>
      <c r="AA30" s="1">
        <f t="shared" si="3"/>
        <v>1</v>
      </c>
      <c r="AJ30" s="1">
        <f t="shared" ref="AJ30:AU30" si="4">SUM(AJ10:AJ29)</f>
        <v>6</v>
      </c>
      <c r="AK30" s="1">
        <f t="shared" si="4"/>
        <v>0</v>
      </c>
      <c r="AL30" s="1">
        <f t="shared" si="4"/>
        <v>92</v>
      </c>
      <c r="AM30" s="1">
        <f t="shared" si="4"/>
        <v>5</v>
      </c>
      <c r="AN30" s="1">
        <f t="shared" si="4"/>
        <v>3</v>
      </c>
      <c r="AO30" s="1">
        <f t="shared" si="4"/>
        <v>27</v>
      </c>
      <c r="AP30" s="1">
        <f t="shared" si="4"/>
        <v>2</v>
      </c>
      <c r="AQ30" s="1">
        <f t="shared" si="4"/>
        <v>4</v>
      </c>
      <c r="AR30" s="1">
        <f>SUM(AR10:AR29)</f>
        <v>2</v>
      </c>
      <c r="AS30" s="1">
        <f>SUM(AS10:AS29)</f>
        <v>2</v>
      </c>
      <c r="AT30" s="1">
        <f>SUM(AT10:AT29)</f>
        <v>3</v>
      </c>
      <c r="AU30" s="1">
        <f t="shared" si="4"/>
        <v>1</v>
      </c>
    </row>
    <row r="31" spans="1:47" ht="14.25" x14ac:dyDescent="0.7">
      <c r="D31" s="1">
        <f>G30/F30</f>
        <v>0.17391304347826086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2</v>
      </c>
      <c r="F41" s="1">
        <f t="shared" si="5"/>
        <v>2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2</v>
      </c>
      <c r="AA41" s="1">
        <f t="shared" si="6"/>
        <v>1</v>
      </c>
      <c r="AD41" s="1">
        <f t="shared" ref="AD41:AS56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si="7"/>
        <v>0</v>
      </c>
      <c r="AO41" s="1">
        <f t="shared" si="7"/>
        <v>0</v>
      </c>
      <c r="AP41" s="1">
        <f t="shared" si="7"/>
        <v>0</v>
      </c>
      <c r="AQ41" s="1">
        <f t="shared" si="7"/>
        <v>0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3</v>
      </c>
      <c r="F42" s="1">
        <f t="shared" si="5"/>
        <v>3</v>
      </c>
      <c r="G42" s="1">
        <f t="shared" si="5"/>
        <v>1</v>
      </c>
      <c r="H42" s="1">
        <f t="shared" si="5"/>
        <v>0</v>
      </c>
      <c r="I42" s="1">
        <f t="shared" si="5"/>
        <v>0</v>
      </c>
      <c r="J42" s="1">
        <f t="shared" si="5"/>
        <v>1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10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0</v>
      </c>
      <c r="F43" s="1">
        <f t="shared" si="5"/>
        <v>0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1</v>
      </c>
      <c r="F44" s="1">
        <f t="shared" si="5"/>
        <v>1</v>
      </c>
      <c r="G44" s="1">
        <f t="shared" si="5"/>
        <v>1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1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2</v>
      </c>
      <c r="F45" s="1">
        <f t="shared" si="5"/>
        <v>2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1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2</v>
      </c>
      <c r="F48" s="1">
        <f t="shared" si="5"/>
        <v>2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1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1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1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1</v>
      </c>
      <c r="F51" s="1">
        <f t="shared" si="5"/>
        <v>1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1</v>
      </c>
      <c r="Z51" s="1">
        <f t="shared" si="6"/>
        <v>0</v>
      </c>
      <c r="AA51" s="1">
        <f t="shared" si="6"/>
        <v>0</v>
      </c>
      <c r="AD51" s="1">
        <f t="shared" si="7"/>
        <v>1</v>
      </c>
      <c r="AE51" s="1">
        <f t="shared" si="7"/>
        <v>0</v>
      </c>
      <c r="AF51" s="1">
        <f t="shared" si="7"/>
        <v>1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5</v>
      </c>
      <c r="AM51" s="1">
        <f t="shared" si="7"/>
        <v>0</v>
      </c>
      <c r="AN51" s="1">
        <f t="shared" si="7"/>
        <v>1</v>
      </c>
      <c r="AO51" s="1">
        <f t="shared" si="7"/>
        <v>1</v>
      </c>
      <c r="AP51" s="1">
        <f t="shared" si="7"/>
        <v>0</v>
      </c>
      <c r="AQ51" s="1">
        <f t="shared" si="7"/>
        <v>1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2</v>
      </c>
      <c r="F52" s="1">
        <f t="shared" si="5"/>
        <v>2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1</v>
      </c>
      <c r="H56" s="1">
        <f t="shared" si="5"/>
        <v>1</v>
      </c>
      <c r="I56" s="1">
        <f t="shared" si="5"/>
        <v>1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1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4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6</v>
      </c>
      <c r="AK56" s="1">
        <f t="shared" si="7"/>
        <v>0</v>
      </c>
      <c r="AL56" s="1">
        <f t="shared" si="7"/>
        <v>87</v>
      </c>
      <c r="AM56" s="1">
        <f t="shared" si="7"/>
        <v>5</v>
      </c>
      <c r="AN56" s="1">
        <f t="shared" si="7"/>
        <v>2</v>
      </c>
      <c r="AO56" s="1">
        <f t="shared" si="7"/>
        <v>26</v>
      </c>
      <c r="AP56" s="1">
        <f t="shared" si="7"/>
        <v>2</v>
      </c>
      <c r="AQ56" s="1">
        <f t="shared" si="7"/>
        <v>3</v>
      </c>
      <c r="AR56" s="1">
        <f t="shared" si="7"/>
        <v>2</v>
      </c>
      <c r="AS56" s="1">
        <f t="shared" si="7"/>
        <v>2</v>
      </c>
      <c r="AT56" s="1">
        <f t="shared" si="8"/>
        <v>3</v>
      </c>
      <c r="AU56" s="1">
        <f t="shared" si="8"/>
        <v>1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2</v>
      </c>
      <c r="F57" s="1">
        <f t="shared" si="10"/>
        <v>2</v>
      </c>
      <c r="G57" s="1">
        <f t="shared" si="10"/>
        <v>1</v>
      </c>
      <c r="H57" s="1">
        <f t="shared" si="10"/>
        <v>0</v>
      </c>
      <c r="I57" s="1">
        <f t="shared" si="10"/>
        <v>0</v>
      </c>
      <c r="J57" s="1">
        <f t="shared" si="10"/>
        <v>1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4</v>
      </c>
      <c r="Z57" s="1">
        <f t="shared" si="11"/>
        <v>1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3</v>
      </c>
      <c r="G61" s="1">
        <f t="shared" si="10"/>
        <v>0</v>
      </c>
      <c r="H61" s="1">
        <f t="shared" si="10"/>
        <v>0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1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2</v>
      </c>
      <c r="F63" s="1">
        <f t="shared" si="10"/>
        <v>2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3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159F21F5-AE57-4357-AB02-5A3464636B06}">
      <formula1>"○,●,△"</formula1>
    </dataValidation>
    <dataValidation type="date" allowBlank="1" showInputMessage="1" showErrorMessage="1" promptTitle="日付入力" prompt="日付を入力してください" sqref="A2:D2" xr:uid="{157FCBF6-8B52-4223-AAB0-C9F94106230E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A3B2251B-A2E3-4C51-8028-E461457E9CDC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4BF44B78-424A-4067-AFB2-AE847FE1BB35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CD8A194D-E31D-49A4-B84A-4355B1BBC786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59FD3B9A-7910-4522-809E-BCCAB84BC1B8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15FE2B64-793A-41D2-B618-815A758798C2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53D6CF9D-4B1F-4E18-9173-9CA92CB5272F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891BF20D-9A1E-4696-A991-EFFDC704FDC9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FDEB16D2-9CBB-4685-959D-8BACE1DDF0A8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B19EDEA7-45DE-4842-A3E0-1C30E2D66563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F8D4795B-53C5-4054-9EE0-7687B8ACE6F1}">
          <x14:formula1>
            <xm:f>データ!$A:$A</xm:f>
          </x14:formula1>
          <xm:sqref>D41:D70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CA78E-18AE-48E1-8CA0-791D77C14141}">
  <sheetPr codeName="Sheet6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45577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215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0.47916666666666669</v>
      </c>
      <c r="AF2" s="93"/>
      <c r="AG2" s="94"/>
      <c r="AH2" s="89" t="s">
        <v>315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1</v>
      </c>
      <c r="M5" s="2">
        <v>0</v>
      </c>
      <c r="N5" s="2"/>
      <c r="O5" s="2"/>
      <c r="P5" s="2"/>
      <c r="Q5" s="2"/>
      <c r="R5" s="2"/>
      <c r="S5" s="2"/>
      <c r="T5" s="10">
        <f>SUM(G5:S5)</f>
        <v>1</v>
      </c>
      <c r="U5" s="10">
        <f>IF(D5="九州工業大学",G30,AT30)</f>
        <v>4</v>
      </c>
      <c r="V5" s="10">
        <f>IF(D5="九州工業大学",AA30,N30)</f>
        <v>6</v>
      </c>
      <c r="AC5" s="14" t="s">
        <v>94</v>
      </c>
    </row>
    <row r="6" spans="1:47" ht="18" thickBot="1" x14ac:dyDescent="0.75">
      <c r="C6" s="95"/>
      <c r="D6" s="95" t="s">
        <v>215</v>
      </c>
      <c r="E6" s="95"/>
      <c r="F6" s="95"/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2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5</v>
      </c>
      <c r="U6" s="10">
        <f>IF(D6="九州工業大学",G30,AT30)</f>
        <v>3</v>
      </c>
      <c r="V6" s="10">
        <f>IF(D6="九州工業大学",AA30,N30)</f>
        <v>3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108</v>
      </c>
      <c r="C10" s="10">
        <f>IF(D10="","",VLOOKUP(D10,データ!A:C,2,FALSE))</f>
        <v>53</v>
      </c>
      <c r="D10" s="7" t="s">
        <v>259</v>
      </c>
      <c r="E10" s="9">
        <v>4</v>
      </c>
      <c r="F10" s="10">
        <f>IF(D10="","",E10-R10-S10-W10-X10)</f>
        <v>3</v>
      </c>
      <c r="G10" s="10">
        <f>IF(D10="","",SUM(J10:M10))</f>
        <v>0</v>
      </c>
      <c r="H10" s="9">
        <v>1</v>
      </c>
      <c r="I10" s="9"/>
      <c r="J10" s="9"/>
      <c r="K10" s="9"/>
      <c r="L10" s="9"/>
      <c r="M10" s="9"/>
      <c r="N10" s="9">
        <v>1</v>
      </c>
      <c r="O10" s="9"/>
      <c r="P10" s="9"/>
      <c r="Q10" s="9">
        <v>1</v>
      </c>
      <c r="R10" s="9">
        <v>1</v>
      </c>
      <c r="S10" s="9"/>
      <c r="T10" s="9"/>
      <c r="U10" s="9"/>
      <c r="V10" s="9"/>
      <c r="W10" s="9"/>
      <c r="X10" s="9"/>
      <c r="Y10" s="9"/>
      <c r="Z10" s="9"/>
      <c r="AA10" s="9">
        <v>1</v>
      </c>
      <c r="AB10" s="10">
        <f>IF(AC10="","",VLOOKUP(AC10,データ!A:C,2,FALSE))</f>
        <v>1</v>
      </c>
      <c r="AC10" s="7" t="s">
        <v>229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5</v>
      </c>
      <c r="AK10" s="9"/>
      <c r="AL10" s="9">
        <v>98</v>
      </c>
      <c r="AM10" s="9">
        <v>3</v>
      </c>
      <c r="AN10" s="9">
        <v>1</v>
      </c>
      <c r="AO10" s="9">
        <v>22</v>
      </c>
      <c r="AP10" s="9"/>
      <c r="AQ10" s="9">
        <v>4</v>
      </c>
      <c r="AR10" s="9">
        <v>1</v>
      </c>
      <c r="AS10" s="9">
        <v>1</v>
      </c>
      <c r="AT10" s="9">
        <v>2</v>
      </c>
      <c r="AU10" s="9"/>
    </row>
    <row r="11" spans="1:47" x14ac:dyDescent="0.7">
      <c r="A11" s="2">
        <v>2</v>
      </c>
      <c r="B11" s="8" t="s">
        <v>99</v>
      </c>
      <c r="C11" s="10">
        <f>IF(D11="","",VLOOKUP(D11,データ!A:C,2,FALSE))</f>
        <v>33</v>
      </c>
      <c r="D11" s="7" t="s">
        <v>241</v>
      </c>
      <c r="E11" s="9">
        <v>4</v>
      </c>
      <c r="F11" s="10">
        <f t="shared" ref="F11:F29" si="0">IF(D11="","",E11-R11-S11-W11-X11)</f>
        <v>4</v>
      </c>
      <c r="G11" s="10">
        <f t="shared" ref="G11:G29" si="1">IF(D11="","",SUM(J11:M11))</f>
        <v>0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>
        <v>2</v>
      </c>
      <c r="Z11" s="9">
        <v>3</v>
      </c>
      <c r="AA11" s="9"/>
      <c r="AB11" s="10">
        <f>IF(AC11="","",VLOOKUP(AC11,データ!A:C,2,FALSE))</f>
        <v>33</v>
      </c>
      <c r="AC11" s="7" t="s">
        <v>241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1</v>
      </c>
      <c r="AK11" s="9"/>
      <c r="AL11" s="9">
        <v>21</v>
      </c>
      <c r="AM11" s="9">
        <v>2</v>
      </c>
      <c r="AN11" s="9">
        <v>1</v>
      </c>
      <c r="AO11" s="9">
        <v>8</v>
      </c>
      <c r="AP11" s="9">
        <v>1</v>
      </c>
      <c r="AQ11" s="9">
        <v>3</v>
      </c>
      <c r="AR11" s="9"/>
      <c r="AS11" s="9"/>
      <c r="AT11" s="9">
        <v>1</v>
      </c>
      <c r="AU11" s="9"/>
    </row>
    <row r="12" spans="1:47" x14ac:dyDescent="0.7">
      <c r="A12" s="2">
        <v>3</v>
      </c>
      <c r="B12" s="8" t="s">
        <v>101</v>
      </c>
      <c r="C12" s="10">
        <f>IF(D12="","",VLOOKUP(D12,データ!A:C,2,FALSE))</f>
        <v>1</v>
      </c>
      <c r="D12" s="7" t="s">
        <v>229</v>
      </c>
      <c r="E12" s="9">
        <v>3</v>
      </c>
      <c r="F12" s="10">
        <f t="shared" si="0"/>
        <v>3</v>
      </c>
      <c r="G12" s="10">
        <f t="shared" si="1"/>
        <v>0</v>
      </c>
      <c r="H12" s="9"/>
      <c r="I12" s="9"/>
      <c r="J12" s="9"/>
      <c r="K12" s="9"/>
      <c r="L12" s="9"/>
      <c r="M12" s="9"/>
      <c r="N12" s="9"/>
      <c r="O12" s="9"/>
      <c r="P12" s="9"/>
      <c r="Q12" s="9">
        <v>2</v>
      </c>
      <c r="R12" s="9"/>
      <c r="S12" s="9"/>
      <c r="T12" s="9"/>
      <c r="U12" s="9"/>
      <c r="V12" s="9"/>
      <c r="W12" s="9"/>
      <c r="X12" s="9"/>
      <c r="Y12" s="9">
        <v>1</v>
      </c>
      <c r="Z12" s="9">
        <v>2</v>
      </c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12</v>
      </c>
      <c r="D13" s="7" t="s">
        <v>235</v>
      </c>
      <c r="E13" s="9">
        <v>3</v>
      </c>
      <c r="F13" s="10">
        <f t="shared" si="0"/>
        <v>3</v>
      </c>
      <c r="G13" s="10">
        <f t="shared" si="1"/>
        <v>0</v>
      </c>
      <c r="H13" s="9"/>
      <c r="I13" s="9"/>
      <c r="J13" s="9"/>
      <c r="K13" s="9"/>
      <c r="L13" s="9"/>
      <c r="M13" s="9"/>
      <c r="N13" s="9">
        <v>2</v>
      </c>
      <c r="O13" s="9"/>
      <c r="P13" s="9">
        <v>1</v>
      </c>
      <c r="Q13" s="9">
        <v>2</v>
      </c>
      <c r="R13" s="9"/>
      <c r="S13" s="9"/>
      <c r="T13" s="9"/>
      <c r="U13" s="9"/>
      <c r="V13" s="9"/>
      <c r="W13" s="9"/>
      <c r="X13" s="9"/>
      <c r="Y13" s="9">
        <v>2</v>
      </c>
      <c r="Z13" s="9">
        <v>1</v>
      </c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104</v>
      </c>
      <c r="C14" s="10">
        <f>IF(D14="","",VLOOKUP(D14,データ!A:C,2,FALSE))</f>
        <v>9</v>
      </c>
      <c r="D14" s="7" t="s">
        <v>318</v>
      </c>
      <c r="E14" s="9">
        <v>3</v>
      </c>
      <c r="F14" s="10">
        <f t="shared" si="0"/>
        <v>3</v>
      </c>
      <c r="G14" s="10">
        <f t="shared" si="1"/>
        <v>2</v>
      </c>
      <c r="H14" s="9">
        <v>1</v>
      </c>
      <c r="I14" s="9">
        <v>1</v>
      </c>
      <c r="J14" s="9">
        <v>2</v>
      </c>
      <c r="K14" s="9"/>
      <c r="L14" s="9"/>
      <c r="M14" s="9"/>
      <c r="N14" s="9"/>
      <c r="O14" s="9">
        <v>1</v>
      </c>
      <c r="P14" s="9"/>
      <c r="Q14" s="9">
        <v>1</v>
      </c>
      <c r="R14" s="9"/>
      <c r="S14" s="9"/>
      <c r="T14" s="9"/>
      <c r="U14" s="9"/>
      <c r="V14" s="9"/>
      <c r="W14" s="9"/>
      <c r="X14" s="9"/>
      <c r="Y14" s="9">
        <v>1</v>
      </c>
      <c r="Z14" s="9"/>
      <c r="AA14" s="9">
        <v>2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109</v>
      </c>
      <c r="C15" s="10">
        <f>IF(D15="","",VLOOKUP(D15,データ!A:C,2,FALSE))</f>
        <v>5</v>
      </c>
      <c r="D15" s="7" t="s">
        <v>256</v>
      </c>
      <c r="E15" s="9">
        <v>3</v>
      </c>
      <c r="F15" s="10">
        <f t="shared" si="0"/>
        <v>3</v>
      </c>
      <c r="G15" s="10">
        <f t="shared" si="1"/>
        <v>1</v>
      </c>
      <c r="H15" s="9"/>
      <c r="I15" s="9"/>
      <c r="J15" s="9">
        <v>1</v>
      </c>
      <c r="K15" s="9"/>
      <c r="L15" s="9"/>
      <c r="M15" s="9"/>
      <c r="N15" s="9"/>
      <c r="O15" s="9"/>
      <c r="P15" s="9"/>
      <c r="Q15" s="9">
        <v>1</v>
      </c>
      <c r="R15" s="9"/>
      <c r="S15" s="9"/>
      <c r="T15" s="9"/>
      <c r="U15" s="9"/>
      <c r="V15" s="9"/>
      <c r="W15" s="9"/>
      <c r="X15" s="9"/>
      <c r="Y15" s="9">
        <v>1</v>
      </c>
      <c r="Z15" s="9"/>
      <c r="AA15" s="9">
        <v>2</v>
      </c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103</v>
      </c>
      <c r="C16" s="10">
        <f>IF(D16="","",VLOOKUP(D16,データ!A:C,2,FALSE))</f>
        <v>21</v>
      </c>
      <c r="D16" s="7" t="s">
        <v>231</v>
      </c>
      <c r="E16" s="9">
        <v>3</v>
      </c>
      <c r="F16" s="10">
        <f t="shared" si="0"/>
        <v>2</v>
      </c>
      <c r="G16" s="10">
        <f t="shared" si="1"/>
        <v>0</v>
      </c>
      <c r="H16" s="9">
        <v>1</v>
      </c>
      <c r="I16" s="9"/>
      <c r="J16" s="9"/>
      <c r="K16" s="9"/>
      <c r="L16" s="9"/>
      <c r="M16" s="9"/>
      <c r="N16" s="9"/>
      <c r="O16" s="9"/>
      <c r="P16" s="9"/>
      <c r="Q16" s="9"/>
      <c r="R16" s="9">
        <v>1</v>
      </c>
      <c r="S16" s="9"/>
      <c r="T16" s="9"/>
      <c r="U16" s="9"/>
      <c r="V16" s="9"/>
      <c r="W16" s="9"/>
      <c r="X16" s="9"/>
      <c r="Y16" s="9">
        <v>7</v>
      </c>
      <c r="Z16" s="9">
        <v>1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106</v>
      </c>
      <c r="C17" s="10">
        <f>IF(D17="","",VLOOKUP(D17,データ!A:C,2,FALSE))</f>
        <v>99</v>
      </c>
      <c r="D17" s="7" t="s">
        <v>247</v>
      </c>
      <c r="E17" s="9">
        <v>3</v>
      </c>
      <c r="F17" s="10">
        <f t="shared" si="0"/>
        <v>3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>
        <v>2</v>
      </c>
      <c r="R17" s="9"/>
      <c r="S17" s="9"/>
      <c r="T17" s="9"/>
      <c r="U17" s="9"/>
      <c r="V17" s="9"/>
      <c r="W17" s="9"/>
      <c r="X17" s="9"/>
      <c r="Y17" s="9">
        <v>3</v>
      </c>
      <c r="Z17" s="9">
        <v>4</v>
      </c>
      <c r="AA17" s="9">
        <v>1</v>
      </c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107</v>
      </c>
      <c r="C18" s="10">
        <f>IF(D18="","",VLOOKUP(D18,データ!A:C,2,FALSE))</f>
        <v>7</v>
      </c>
      <c r="D18" s="7" t="s">
        <v>254</v>
      </c>
      <c r="E18" s="9">
        <v>2</v>
      </c>
      <c r="F18" s="10">
        <f t="shared" si="0"/>
        <v>2</v>
      </c>
      <c r="G18" s="10">
        <f t="shared" si="1"/>
        <v>1</v>
      </c>
      <c r="H18" s="9">
        <v>1</v>
      </c>
      <c r="I18" s="9"/>
      <c r="J18" s="9">
        <v>1</v>
      </c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105</v>
      </c>
      <c r="C19" s="10">
        <f>IF(D19="","",VLOOKUP(D19,データ!A:C,2,FALSE))</f>
        <v>46</v>
      </c>
      <c r="D19" s="7" t="s">
        <v>181</v>
      </c>
      <c r="E19" s="9">
        <v>1</v>
      </c>
      <c r="F19" s="10">
        <f t="shared" si="0"/>
        <v>1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>
        <v>1</v>
      </c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29</v>
      </c>
      <c r="F30" s="1">
        <f t="shared" si="3"/>
        <v>27</v>
      </c>
      <c r="G30" s="1">
        <f t="shared" si="3"/>
        <v>4</v>
      </c>
      <c r="H30" s="1">
        <f t="shared" si="3"/>
        <v>4</v>
      </c>
      <c r="I30" s="1">
        <f t="shared" si="3"/>
        <v>1</v>
      </c>
      <c r="J30" s="1">
        <f t="shared" si="3"/>
        <v>4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3</v>
      </c>
      <c r="O30" s="1">
        <f t="shared" si="3"/>
        <v>1</v>
      </c>
      <c r="P30" s="1">
        <f t="shared" si="3"/>
        <v>1</v>
      </c>
      <c r="Q30" s="1">
        <f t="shared" si="3"/>
        <v>11</v>
      </c>
      <c r="R30" s="1">
        <f t="shared" si="3"/>
        <v>2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18</v>
      </c>
      <c r="Z30" s="1">
        <f t="shared" si="3"/>
        <v>11</v>
      </c>
      <c r="AA30" s="1">
        <f t="shared" si="3"/>
        <v>6</v>
      </c>
      <c r="AJ30" s="1">
        <f t="shared" ref="AJ30:AU30" si="4">SUM(AJ10:AJ29)</f>
        <v>6</v>
      </c>
      <c r="AK30" s="1">
        <f t="shared" si="4"/>
        <v>0</v>
      </c>
      <c r="AL30" s="1">
        <f t="shared" si="4"/>
        <v>119</v>
      </c>
      <c r="AM30" s="1">
        <f t="shared" si="4"/>
        <v>5</v>
      </c>
      <c r="AN30" s="1">
        <f t="shared" si="4"/>
        <v>2</v>
      </c>
      <c r="AO30" s="1">
        <f t="shared" si="4"/>
        <v>30</v>
      </c>
      <c r="AP30" s="1">
        <f t="shared" si="4"/>
        <v>1</v>
      </c>
      <c r="AQ30" s="1">
        <f t="shared" si="4"/>
        <v>7</v>
      </c>
      <c r="AR30" s="1">
        <f>SUM(AR10:AR29)</f>
        <v>1</v>
      </c>
      <c r="AS30" s="1">
        <f>SUM(AS10:AS29)</f>
        <v>1</v>
      </c>
      <c r="AT30" s="1">
        <f>SUM(AT10:AT29)</f>
        <v>3</v>
      </c>
      <c r="AU30" s="1">
        <f t="shared" si="4"/>
        <v>0</v>
      </c>
    </row>
    <row r="31" spans="1:47" ht="14.25" x14ac:dyDescent="0.7">
      <c r="D31" s="1">
        <f>G30/F30</f>
        <v>0.14814814814814814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3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2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1</v>
      </c>
      <c r="Z41" s="1">
        <f t="shared" si="6"/>
        <v>2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5</v>
      </c>
      <c r="AK41" s="1">
        <f t="shared" si="7"/>
        <v>0</v>
      </c>
      <c r="AL41" s="1">
        <f t="shared" si="7"/>
        <v>98</v>
      </c>
      <c r="AM41" s="1">
        <f t="shared" si="7"/>
        <v>3</v>
      </c>
      <c r="AN41" s="1">
        <f t="shared" si="7"/>
        <v>1</v>
      </c>
      <c r="AO41" s="1">
        <f t="shared" si="7"/>
        <v>22</v>
      </c>
      <c r="AP41" s="1">
        <f t="shared" si="7"/>
        <v>0</v>
      </c>
      <c r="AQ41" s="1">
        <f t="shared" si="7"/>
        <v>4</v>
      </c>
      <c r="AR41" s="1">
        <f t="shared" si="7"/>
        <v>1</v>
      </c>
      <c r="AS41" s="1">
        <f t="shared" si="7"/>
        <v>1</v>
      </c>
      <c r="AT41" s="1">
        <f t="shared" ref="AN41:AU56" si="8">IFERROR(VLOOKUP($D41,$AC$10:$AU$29,AT$71,FALSE),0)</f>
        <v>2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3</v>
      </c>
      <c r="F43" s="1">
        <f t="shared" si="5"/>
        <v>3</v>
      </c>
      <c r="G43" s="1">
        <f t="shared" si="5"/>
        <v>1</v>
      </c>
      <c r="H43" s="1">
        <f t="shared" si="5"/>
        <v>0</v>
      </c>
      <c r="I43" s="1">
        <f t="shared" si="5"/>
        <v>0</v>
      </c>
      <c r="J43" s="1">
        <f t="shared" si="5"/>
        <v>1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1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2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2</v>
      </c>
      <c r="F44" s="1">
        <f t="shared" si="5"/>
        <v>2</v>
      </c>
      <c r="G44" s="1">
        <f t="shared" si="5"/>
        <v>1</v>
      </c>
      <c r="H44" s="1">
        <f t="shared" si="5"/>
        <v>1</v>
      </c>
      <c r="I44" s="1">
        <f t="shared" si="5"/>
        <v>0</v>
      </c>
      <c r="J44" s="1">
        <f t="shared" si="5"/>
        <v>1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1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3</v>
      </c>
      <c r="F45" s="1">
        <f t="shared" si="5"/>
        <v>3</v>
      </c>
      <c r="G45" s="1">
        <f t="shared" si="5"/>
        <v>2</v>
      </c>
      <c r="H45" s="1">
        <f t="shared" si="5"/>
        <v>1</v>
      </c>
      <c r="I45" s="1">
        <f t="shared" si="5"/>
        <v>1</v>
      </c>
      <c r="J45" s="1">
        <f t="shared" si="5"/>
        <v>2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1</v>
      </c>
      <c r="P45" s="1">
        <f t="shared" si="5"/>
        <v>0</v>
      </c>
      <c r="Q45" s="1">
        <f t="shared" si="5"/>
        <v>1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1</v>
      </c>
      <c r="Z45" s="1">
        <f t="shared" si="6"/>
        <v>0</v>
      </c>
      <c r="AA45" s="1">
        <f t="shared" si="6"/>
        <v>2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3</v>
      </c>
      <c r="F48" s="1">
        <f t="shared" si="5"/>
        <v>3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2</v>
      </c>
      <c r="O48" s="1">
        <f t="shared" si="5"/>
        <v>0</v>
      </c>
      <c r="P48" s="1">
        <f t="shared" si="5"/>
        <v>1</v>
      </c>
      <c r="Q48" s="1">
        <f t="shared" si="5"/>
        <v>2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2</v>
      </c>
      <c r="Z48" s="1">
        <f t="shared" si="6"/>
        <v>1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2</v>
      </c>
      <c r="G51" s="1">
        <f t="shared" si="5"/>
        <v>0</v>
      </c>
      <c r="H51" s="1">
        <f t="shared" si="5"/>
        <v>1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1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7</v>
      </c>
      <c r="Z51" s="1">
        <f t="shared" si="6"/>
        <v>1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4</v>
      </c>
      <c r="G56" s="1">
        <f t="shared" si="5"/>
        <v>0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2</v>
      </c>
      <c r="Z56" s="1">
        <f t="shared" si="6"/>
        <v>3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1</v>
      </c>
      <c r="AK56" s="1">
        <f t="shared" si="7"/>
        <v>0</v>
      </c>
      <c r="AL56" s="1">
        <f t="shared" si="7"/>
        <v>21</v>
      </c>
      <c r="AM56" s="1">
        <f t="shared" si="7"/>
        <v>2</v>
      </c>
      <c r="AN56" s="1">
        <f t="shared" si="7"/>
        <v>1</v>
      </c>
      <c r="AO56" s="1">
        <f t="shared" si="7"/>
        <v>8</v>
      </c>
      <c r="AP56" s="1">
        <f t="shared" si="7"/>
        <v>1</v>
      </c>
      <c r="AQ56" s="1">
        <f t="shared" si="7"/>
        <v>3</v>
      </c>
      <c r="AR56" s="1">
        <f t="shared" si="7"/>
        <v>0</v>
      </c>
      <c r="AS56" s="1">
        <f t="shared" si="7"/>
        <v>0</v>
      </c>
      <c r="AT56" s="1">
        <f t="shared" si="8"/>
        <v>1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1</v>
      </c>
      <c r="F57" s="1">
        <f t="shared" si="10"/>
        <v>1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1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1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4</v>
      </c>
      <c r="F61" s="1">
        <f t="shared" si="10"/>
        <v>3</v>
      </c>
      <c r="G61" s="1">
        <f t="shared" si="10"/>
        <v>0</v>
      </c>
      <c r="H61" s="1">
        <f t="shared" si="10"/>
        <v>1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0</v>
      </c>
      <c r="P61" s="1">
        <f t="shared" si="10"/>
        <v>0</v>
      </c>
      <c r="Q61" s="1">
        <f t="shared" si="10"/>
        <v>1</v>
      </c>
      <c r="R61" s="1">
        <f t="shared" si="10"/>
        <v>1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1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2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3</v>
      </c>
      <c r="Z63" s="1">
        <f t="shared" si="11"/>
        <v>4</v>
      </c>
      <c r="AA63" s="1">
        <f t="shared" si="11"/>
        <v>1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8AE68DB6-1131-4938-9A83-BACF8CC22DDA}">
      <formula1>"○,●,△"</formula1>
    </dataValidation>
    <dataValidation type="date" allowBlank="1" showInputMessage="1" showErrorMessage="1" promptTitle="日付入力" prompt="日付を入力してください" sqref="A2:D2" xr:uid="{C46B75DC-DB0D-4875-9BC2-8200F39CDDBD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562F097A-49F6-4052-A98B-012B1382DAB6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73B5DB18-C41F-43F5-BF27-F914B994EFFA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9CAECB0B-8BE4-47CB-87C5-355C5AA42616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EC15B1DE-3164-4463-BCF4-62407AACD3E7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E4E3952E-D5C5-410B-86D6-386D2B2295A4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8FACD7CA-F6D8-4C9E-B1FA-FA1ACE1F2A04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99EB51F9-99D7-41FB-B428-CCB73A045E05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6B0F9716-020B-4410-A37B-DD84DBA769B4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9B774619-13B7-4687-8421-C2EBEE774C93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E8D8DFDC-E037-4503-BB02-34A58DFF645C}">
          <x14:formula1>
            <xm:f>データ!$A:$A</xm:f>
          </x14:formula1>
          <xm:sqref>D41:D70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A6A7-7462-4113-8216-57722CB83961}">
  <sheetPr codeName="Sheet8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45479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271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0.54166666666666663</v>
      </c>
      <c r="AD2" s="17" t="s">
        <v>46</v>
      </c>
      <c r="AE2" s="92">
        <v>0.625</v>
      </c>
      <c r="AF2" s="93"/>
      <c r="AG2" s="94"/>
      <c r="AH2" s="89" t="s">
        <v>272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271</v>
      </c>
      <c r="E5" s="95"/>
      <c r="F5" s="95"/>
      <c r="G5" s="2">
        <v>2</v>
      </c>
      <c r="H5" s="2">
        <v>6</v>
      </c>
      <c r="I5" s="2">
        <v>0</v>
      </c>
      <c r="J5" s="2">
        <v>1</v>
      </c>
      <c r="K5" s="2">
        <v>1</v>
      </c>
      <c r="L5" s="2">
        <v>0</v>
      </c>
      <c r="M5" s="2">
        <v>4</v>
      </c>
      <c r="N5" s="2"/>
      <c r="O5" s="2"/>
      <c r="P5" s="2"/>
      <c r="Q5" s="2"/>
      <c r="R5" s="2"/>
      <c r="S5" s="2"/>
      <c r="T5" s="10">
        <f>SUM(G5:S5)</f>
        <v>14</v>
      </c>
      <c r="U5" s="10">
        <f>IF(D5="九州工業大学",G30,AT30)</f>
        <v>11</v>
      </c>
      <c r="V5" s="10">
        <f>IF(D5="九州工業大学",AA30,N30)</f>
        <v>3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3</v>
      </c>
      <c r="L6" s="2">
        <v>0</v>
      </c>
      <c r="M6" s="2">
        <v>3</v>
      </c>
      <c r="N6" s="2"/>
      <c r="O6" s="2"/>
      <c r="P6" s="2"/>
      <c r="Q6" s="2"/>
      <c r="R6" s="2"/>
      <c r="S6" s="2"/>
      <c r="T6" s="10">
        <f>SUM(G6:S6)</f>
        <v>6</v>
      </c>
      <c r="U6" s="10">
        <f>IF(D6="九州工業大学",G30,AT30)</f>
        <v>7</v>
      </c>
      <c r="V6" s="10">
        <f>IF(D6="九州工業大学",AA30,N30)</f>
        <v>6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104</v>
      </c>
      <c r="C10" s="10">
        <f>IF(D10="","",VLOOKUP(D10,データ!A:C,2,FALSE))</f>
        <v>53</v>
      </c>
      <c r="D10" s="7" t="s">
        <v>259</v>
      </c>
      <c r="E10" s="9">
        <v>4</v>
      </c>
      <c r="F10" s="10">
        <f>IF(D10="","",E10-R10-S10-W10-X10)</f>
        <v>3</v>
      </c>
      <c r="G10" s="10">
        <f>IF(D10="","",SUM(J10:M10))</f>
        <v>1</v>
      </c>
      <c r="H10" s="9">
        <v>2</v>
      </c>
      <c r="I10" s="9">
        <v>1</v>
      </c>
      <c r="J10" s="9"/>
      <c r="K10" s="9">
        <v>1</v>
      </c>
      <c r="L10" s="9"/>
      <c r="M10" s="9"/>
      <c r="N10" s="9"/>
      <c r="O10" s="9">
        <v>1</v>
      </c>
      <c r="P10" s="9">
        <v>1</v>
      </c>
      <c r="Q10" s="9">
        <v>1</v>
      </c>
      <c r="R10" s="9">
        <v>1</v>
      </c>
      <c r="S10" s="9"/>
      <c r="T10" s="9"/>
      <c r="U10" s="9"/>
      <c r="V10" s="9"/>
      <c r="W10" s="9"/>
      <c r="X10" s="9"/>
      <c r="Y10" s="9"/>
      <c r="Z10" s="9">
        <v>2</v>
      </c>
      <c r="AA10" s="9"/>
      <c r="AB10" s="10">
        <f>IF(AC10="","",VLOOKUP(AC10,データ!A:C,2,FALSE))</f>
        <v>1</v>
      </c>
      <c r="AC10" s="7" t="s">
        <v>229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5</v>
      </c>
      <c r="AK10" s="9"/>
      <c r="AL10" s="9">
        <v>91</v>
      </c>
      <c r="AM10" s="9">
        <v>10</v>
      </c>
      <c r="AN10" s="9">
        <v>6</v>
      </c>
      <c r="AO10" s="9">
        <v>26</v>
      </c>
      <c r="AP10" s="9">
        <v>2</v>
      </c>
      <c r="AQ10" s="9">
        <v>4</v>
      </c>
      <c r="AR10" s="9">
        <v>2</v>
      </c>
      <c r="AS10" s="9">
        <v>1</v>
      </c>
      <c r="AT10" s="9">
        <v>7</v>
      </c>
      <c r="AU10" s="9">
        <v>2</v>
      </c>
    </row>
    <row r="11" spans="1:47" x14ac:dyDescent="0.7">
      <c r="A11" s="2">
        <v>2</v>
      </c>
      <c r="B11" s="8" t="s">
        <v>103</v>
      </c>
      <c r="C11" s="10">
        <f>IF(D11="","",VLOOKUP(D11,データ!A:C,2,FALSE))</f>
        <v>99</v>
      </c>
      <c r="D11" s="7" t="s">
        <v>247</v>
      </c>
      <c r="E11" s="9">
        <v>4</v>
      </c>
      <c r="F11" s="10">
        <f t="shared" ref="F11:F29" si="0">IF(D11="","",E11-R11-S11-W11-X11)</f>
        <v>2</v>
      </c>
      <c r="G11" s="10">
        <f t="shared" ref="G11:G29" si="1">IF(D11="","",SUM(J11:M11))</f>
        <v>0</v>
      </c>
      <c r="H11" s="9">
        <v>1</v>
      </c>
      <c r="I11" s="9"/>
      <c r="J11" s="9"/>
      <c r="K11" s="9"/>
      <c r="L11" s="9"/>
      <c r="M11" s="9"/>
      <c r="N11" s="9"/>
      <c r="O11" s="9"/>
      <c r="P11" s="9">
        <v>1</v>
      </c>
      <c r="Q11" s="9">
        <v>2</v>
      </c>
      <c r="R11" s="9">
        <v>2</v>
      </c>
      <c r="S11" s="9"/>
      <c r="T11" s="9"/>
      <c r="U11" s="9">
        <v>1</v>
      </c>
      <c r="V11" s="9">
        <v>1</v>
      </c>
      <c r="W11" s="9"/>
      <c r="X11" s="9"/>
      <c r="Y11" s="9">
        <v>4</v>
      </c>
      <c r="Z11" s="9"/>
      <c r="AA11" s="9">
        <v>2</v>
      </c>
      <c r="AB11" s="10">
        <f>IF(AC11="","",VLOOKUP(AC11,データ!A:C,2,FALSE))</f>
        <v>53</v>
      </c>
      <c r="AC11" s="7" t="s">
        <v>259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1</v>
      </c>
      <c r="AK11" s="18">
        <f>1/3</f>
        <v>0.33333333333333331</v>
      </c>
      <c r="AL11" s="9">
        <v>42</v>
      </c>
      <c r="AM11" s="9">
        <v>2</v>
      </c>
      <c r="AN11" s="9">
        <v>4</v>
      </c>
      <c r="AO11" s="9">
        <v>9</v>
      </c>
      <c r="AP11" s="9"/>
      <c r="AQ11" s="9">
        <v>2</v>
      </c>
      <c r="AR11" s="9"/>
      <c r="AS11" s="9"/>
      <c r="AT11" s="9">
        <v>3</v>
      </c>
      <c r="AU11" s="9"/>
    </row>
    <row r="12" spans="1:47" x14ac:dyDescent="0.7">
      <c r="A12" s="2">
        <v>3</v>
      </c>
      <c r="B12" s="8" t="s">
        <v>99</v>
      </c>
      <c r="C12" s="10">
        <f>IF(D12="","",VLOOKUP(D12,データ!A:C,2,FALSE))</f>
        <v>33</v>
      </c>
      <c r="D12" s="7" t="s">
        <v>241</v>
      </c>
      <c r="E12" s="9">
        <v>4</v>
      </c>
      <c r="F12" s="10">
        <f t="shared" si="0"/>
        <v>3</v>
      </c>
      <c r="G12" s="10">
        <f t="shared" si="1"/>
        <v>1</v>
      </c>
      <c r="H12" s="9"/>
      <c r="I12" s="9"/>
      <c r="J12" s="9">
        <v>1</v>
      </c>
      <c r="K12" s="9"/>
      <c r="L12" s="9"/>
      <c r="M12" s="9"/>
      <c r="N12" s="9"/>
      <c r="O12" s="9"/>
      <c r="P12" s="9"/>
      <c r="Q12" s="9">
        <v>1</v>
      </c>
      <c r="R12" s="9">
        <v>1</v>
      </c>
      <c r="S12" s="9"/>
      <c r="T12" s="9"/>
      <c r="U12" s="9"/>
      <c r="V12" s="9"/>
      <c r="W12" s="9"/>
      <c r="X12" s="9"/>
      <c r="Y12" s="9">
        <v>6</v>
      </c>
      <c r="Z12" s="9">
        <v>2</v>
      </c>
      <c r="AA12" s="9"/>
      <c r="AB12" s="10">
        <f>IF(AC12="","",VLOOKUP(AC12,データ!A:C,2,FALSE))</f>
        <v>46</v>
      </c>
      <c r="AC12" s="7" t="s">
        <v>181</v>
      </c>
      <c r="AD12" s="10">
        <f t="shared" si="2"/>
        <v>1</v>
      </c>
      <c r="AE12" s="9"/>
      <c r="AF12" s="9"/>
      <c r="AG12" s="9"/>
      <c r="AH12" s="9"/>
      <c r="AI12" s="9"/>
      <c r="AJ12" s="9">
        <v>0</v>
      </c>
      <c r="AK12" s="18">
        <f>2/3</f>
        <v>0.66666666666666663</v>
      </c>
      <c r="AL12" s="9">
        <v>10</v>
      </c>
      <c r="AM12" s="9">
        <v>2</v>
      </c>
      <c r="AN12" s="9"/>
      <c r="AO12" s="9">
        <v>3</v>
      </c>
      <c r="AP12" s="9"/>
      <c r="AQ12" s="9"/>
      <c r="AR12" s="9"/>
      <c r="AS12" s="9"/>
      <c r="AT12" s="9">
        <v>1</v>
      </c>
      <c r="AU12" s="9"/>
    </row>
    <row r="13" spans="1:47" x14ac:dyDescent="0.7">
      <c r="A13" s="2">
        <v>4</v>
      </c>
      <c r="B13" s="8" t="s">
        <v>109</v>
      </c>
      <c r="C13" s="10">
        <f>IF(D13="","",VLOOKUP(D13,データ!A:C,2,FALSE))</f>
        <v>23</v>
      </c>
      <c r="D13" s="7" t="s">
        <v>264</v>
      </c>
      <c r="E13" s="9">
        <v>4</v>
      </c>
      <c r="F13" s="10">
        <f t="shared" si="0"/>
        <v>4</v>
      </c>
      <c r="G13" s="10">
        <f t="shared" si="1"/>
        <v>1</v>
      </c>
      <c r="H13" s="9">
        <v>1</v>
      </c>
      <c r="I13" s="9">
        <v>1</v>
      </c>
      <c r="J13" s="9">
        <v>1</v>
      </c>
      <c r="K13" s="9"/>
      <c r="L13" s="9"/>
      <c r="M13" s="9"/>
      <c r="N13" s="9">
        <v>1</v>
      </c>
      <c r="O13" s="9">
        <v>1</v>
      </c>
      <c r="P13" s="9"/>
      <c r="Q13" s="9"/>
      <c r="R13" s="9"/>
      <c r="S13" s="9"/>
      <c r="T13" s="9"/>
      <c r="U13" s="9"/>
      <c r="V13" s="9"/>
      <c r="W13" s="9"/>
      <c r="X13" s="9"/>
      <c r="Y13" s="9">
        <v>1</v>
      </c>
      <c r="Z13" s="9"/>
      <c r="AA13" s="9">
        <v>1</v>
      </c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101</v>
      </c>
      <c r="C14" s="10">
        <f>IF(D14="","",VLOOKUP(D14,データ!A:C,2,FALSE))</f>
        <v>1</v>
      </c>
      <c r="D14" s="7" t="s">
        <v>229</v>
      </c>
      <c r="E14" s="9">
        <v>4</v>
      </c>
      <c r="F14" s="10">
        <f t="shared" si="0"/>
        <v>4</v>
      </c>
      <c r="G14" s="10">
        <f t="shared" si="1"/>
        <v>1</v>
      </c>
      <c r="H14" s="9">
        <v>1</v>
      </c>
      <c r="I14" s="9">
        <v>1</v>
      </c>
      <c r="J14" s="9">
        <v>1</v>
      </c>
      <c r="K14" s="9"/>
      <c r="L14" s="9"/>
      <c r="M14" s="9"/>
      <c r="N14" s="9"/>
      <c r="O14" s="9"/>
      <c r="P14" s="9"/>
      <c r="Q14" s="9">
        <v>1</v>
      </c>
      <c r="R14" s="9"/>
      <c r="S14" s="9"/>
      <c r="T14" s="9"/>
      <c r="U14" s="9"/>
      <c r="V14" s="9"/>
      <c r="W14" s="9"/>
      <c r="X14" s="9"/>
      <c r="Y14" s="9">
        <v>3</v>
      </c>
      <c r="Z14" s="9">
        <v>4</v>
      </c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106</v>
      </c>
      <c r="C15" s="10">
        <f>IF(D15="","",VLOOKUP(D15,データ!A:C,2,FALSE))</f>
        <v>5</v>
      </c>
      <c r="D15" s="7" t="s">
        <v>256</v>
      </c>
      <c r="E15" s="9">
        <v>4</v>
      </c>
      <c r="F15" s="10">
        <f t="shared" si="0"/>
        <v>4</v>
      </c>
      <c r="G15" s="10">
        <f t="shared" si="1"/>
        <v>1</v>
      </c>
      <c r="H15" s="9">
        <v>1</v>
      </c>
      <c r="I15" s="9"/>
      <c r="J15" s="9">
        <v>1</v>
      </c>
      <c r="K15" s="9"/>
      <c r="L15" s="9"/>
      <c r="M15" s="9"/>
      <c r="N15" s="9"/>
      <c r="O15" s="9"/>
      <c r="P15" s="9">
        <v>1</v>
      </c>
      <c r="Q15" s="9">
        <v>2</v>
      </c>
      <c r="R15" s="9"/>
      <c r="S15" s="9"/>
      <c r="T15" s="9"/>
      <c r="U15" s="9"/>
      <c r="V15" s="9"/>
      <c r="W15" s="9"/>
      <c r="X15" s="9"/>
      <c r="Y15" s="9">
        <v>1</v>
      </c>
      <c r="Z15" s="9">
        <v>2</v>
      </c>
      <c r="AA15" s="9">
        <v>2</v>
      </c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108</v>
      </c>
      <c r="C16" s="10">
        <f>IF(D16="","",VLOOKUP(D16,データ!A:C,2,FALSE))</f>
        <v>51</v>
      </c>
      <c r="D16" s="7" t="s">
        <v>245</v>
      </c>
      <c r="E16" s="9">
        <v>3</v>
      </c>
      <c r="F16" s="10">
        <f t="shared" si="0"/>
        <v>2</v>
      </c>
      <c r="G16" s="10">
        <f t="shared" si="1"/>
        <v>0</v>
      </c>
      <c r="H16" s="9"/>
      <c r="I16" s="9"/>
      <c r="J16" s="9"/>
      <c r="K16" s="9"/>
      <c r="L16" s="9"/>
      <c r="M16" s="9"/>
      <c r="N16" s="9">
        <v>1</v>
      </c>
      <c r="O16" s="9"/>
      <c r="P16" s="9">
        <v>2</v>
      </c>
      <c r="Q16" s="9"/>
      <c r="R16" s="9">
        <v>1</v>
      </c>
      <c r="S16" s="9"/>
      <c r="T16" s="9"/>
      <c r="U16" s="9"/>
      <c r="V16" s="9"/>
      <c r="W16" s="9"/>
      <c r="X16" s="9"/>
      <c r="Y16" s="9"/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105</v>
      </c>
      <c r="C17" s="10">
        <f>IF(D17="","",VLOOKUP(D17,データ!A:C,2,FALSE))</f>
        <v>46</v>
      </c>
      <c r="D17" s="7" t="s">
        <v>181</v>
      </c>
      <c r="E17" s="9">
        <v>3</v>
      </c>
      <c r="F17" s="10">
        <f t="shared" si="0"/>
        <v>2</v>
      </c>
      <c r="G17" s="10">
        <f t="shared" si="1"/>
        <v>2</v>
      </c>
      <c r="H17" s="9">
        <v>1</v>
      </c>
      <c r="I17" s="9">
        <v>1</v>
      </c>
      <c r="J17" s="9">
        <v>2</v>
      </c>
      <c r="K17" s="9"/>
      <c r="L17" s="9"/>
      <c r="M17" s="9"/>
      <c r="N17" s="9">
        <v>1</v>
      </c>
      <c r="O17" s="9"/>
      <c r="P17" s="9">
        <v>1</v>
      </c>
      <c r="Q17" s="9"/>
      <c r="R17" s="9">
        <v>1</v>
      </c>
      <c r="S17" s="9"/>
      <c r="T17" s="9"/>
      <c r="U17" s="9">
        <v>1</v>
      </c>
      <c r="V17" s="9"/>
      <c r="W17" s="9"/>
      <c r="X17" s="9"/>
      <c r="Y17" s="9">
        <v>4</v>
      </c>
      <c r="Z17" s="9">
        <v>2</v>
      </c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107</v>
      </c>
      <c r="C18" s="10">
        <f>IF(D18="","",VLOOKUP(D18,データ!A:C,2,FALSE))</f>
        <v>7</v>
      </c>
      <c r="D18" s="7" t="s">
        <v>254</v>
      </c>
      <c r="E18" s="9">
        <v>3</v>
      </c>
      <c r="F18" s="10">
        <f t="shared" si="0"/>
        <v>2</v>
      </c>
      <c r="G18" s="10">
        <f t="shared" si="1"/>
        <v>0</v>
      </c>
      <c r="H18" s="9">
        <v>2</v>
      </c>
      <c r="I18" s="9"/>
      <c r="J18" s="9"/>
      <c r="K18" s="9"/>
      <c r="L18" s="9"/>
      <c r="M18" s="9"/>
      <c r="N18" s="9"/>
      <c r="O18" s="9">
        <v>1</v>
      </c>
      <c r="P18" s="9"/>
      <c r="Q18" s="9">
        <v>2</v>
      </c>
      <c r="R18" s="9"/>
      <c r="S18" s="9"/>
      <c r="T18" s="9">
        <v>1</v>
      </c>
      <c r="U18" s="9"/>
      <c r="V18" s="9"/>
      <c r="W18" s="9"/>
      <c r="X18" s="9">
        <v>1</v>
      </c>
      <c r="Y18" s="9">
        <v>2</v>
      </c>
      <c r="Z18" s="9">
        <v>1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/>
      <c r="C19" s="10" t="str">
        <f>IF(D19="","",VLOOKUP(D19,データ!A:C,2,FALSE))</f>
        <v/>
      </c>
      <c r="D19" s="7"/>
      <c r="E19" s="9"/>
      <c r="F19" s="10" t="str">
        <f t="shared" si="0"/>
        <v/>
      </c>
      <c r="G19" s="10" t="str">
        <f t="shared" si="1"/>
        <v/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33</v>
      </c>
      <c r="F30" s="1">
        <f t="shared" si="3"/>
        <v>26</v>
      </c>
      <c r="G30" s="1">
        <f t="shared" si="3"/>
        <v>7</v>
      </c>
      <c r="H30" s="1">
        <f t="shared" si="3"/>
        <v>9</v>
      </c>
      <c r="I30" s="1">
        <f t="shared" si="3"/>
        <v>4</v>
      </c>
      <c r="J30" s="1">
        <f t="shared" si="3"/>
        <v>6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3</v>
      </c>
      <c r="O30" s="1">
        <f t="shared" si="3"/>
        <v>3</v>
      </c>
      <c r="P30" s="1">
        <f t="shared" si="3"/>
        <v>6</v>
      </c>
      <c r="Q30" s="1">
        <f t="shared" si="3"/>
        <v>9</v>
      </c>
      <c r="R30" s="1">
        <f t="shared" si="3"/>
        <v>6</v>
      </c>
      <c r="S30" s="1">
        <f t="shared" si="3"/>
        <v>0</v>
      </c>
      <c r="T30" s="1">
        <f t="shared" si="3"/>
        <v>1</v>
      </c>
      <c r="U30" s="1">
        <f t="shared" si="3"/>
        <v>2</v>
      </c>
      <c r="V30" s="1">
        <f t="shared" si="3"/>
        <v>1</v>
      </c>
      <c r="W30" s="1">
        <f t="shared" si="3"/>
        <v>0</v>
      </c>
      <c r="X30" s="1">
        <f t="shared" si="3"/>
        <v>1</v>
      </c>
      <c r="Y30" s="1">
        <f t="shared" si="3"/>
        <v>21</v>
      </c>
      <c r="Z30" s="1">
        <f t="shared" si="3"/>
        <v>13</v>
      </c>
      <c r="AA30" s="1">
        <f t="shared" si="3"/>
        <v>6</v>
      </c>
      <c r="AJ30" s="1">
        <f t="shared" ref="AJ30:AU30" si="4">SUM(AJ10:AJ29)</f>
        <v>6</v>
      </c>
      <c r="AK30" s="1">
        <f t="shared" si="4"/>
        <v>1</v>
      </c>
      <c r="AL30" s="1">
        <f t="shared" si="4"/>
        <v>143</v>
      </c>
      <c r="AM30" s="1">
        <f t="shared" si="4"/>
        <v>14</v>
      </c>
      <c r="AN30" s="1">
        <f t="shared" si="4"/>
        <v>10</v>
      </c>
      <c r="AO30" s="1">
        <f t="shared" si="4"/>
        <v>38</v>
      </c>
      <c r="AP30" s="1">
        <f t="shared" si="4"/>
        <v>2</v>
      </c>
      <c r="AQ30" s="1">
        <f t="shared" si="4"/>
        <v>6</v>
      </c>
      <c r="AR30" s="1">
        <f>SUM(AR10:AR29)</f>
        <v>2</v>
      </c>
      <c r="AS30" s="1">
        <f>SUM(AS10:AS29)</f>
        <v>1</v>
      </c>
      <c r="AT30" s="1">
        <f>SUM(AT10:AT29)</f>
        <v>11</v>
      </c>
      <c r="AU30" s="1">
        <f t="shared" si="4"/>
        <v>2</v>
      </c>
    </row>
    <row r="31" spans="1:47" ht="14.25" x14ac:dyDescent="0.7">
      <c r="D31" s="1">
        <f>G30/F30</f>
        <v>0.26923076923076922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4</v>
      </c>
      <c r="F41" s="1">
        <f t="shared" si="5"/>
        <v>4</v>
      </c>
      <c r="G41" s="1">
        <f t="shared" si="5"/>
        <v>1</v>
      </c>
      <c r="H41" s="1">
        <f t="shared" si="5"/>
        <v>1</v>
      </c>
      <c r="I41" s="1">
        <f t="shared" si="5"/>
        <v>1</v>
      </c>
      <c r="J41" s="1">
        <f t="shared" si="5"/>
        <v>1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1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3</v>
      </c>
      <c r="Z41" s="1">
        <f t="shared" si="6"/>
        <v>4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5</v>
      </c>
      <c r="AK41" s="1">
        <f t="shared" si="7"/>
        <v>0</v>
      </c>
      <c r="AL41" s="1">
        <f t="shared" si="7"/>
        <v>91</v>
      </c>
      <c r="AM41" s="1">
        <f t="shared" si="7"/>
        <v>10</v>
      </c>
      <c r="AN41" s="1">
        <f t="shared" si="7"/>
        <v>6</v>
      </c>
      <c r="AO41" s="1">
        <f t="shared" si="7"/>
        <v>26</v>
      </c>
      <c r="AP41" s="1">
        <f t="shared" si="7"/>
        <v>2</v>
      </c>
      <c r="AQ41" s="1">
        <f t="shared" si="7"/>
        <v>4</v>
      </c>
      <c r="AR41" s="1">
        <f t="shared" si="7"/>
        <v>2</v>
      </c>
      <c r="AS41" s="1">
        <f t="shared" si="7"/>
        <v>1</v>
      </c>
      <c r="AT41" s="1">
        <f t="shared" ref="AN41:AU56" si="8">IFERROR(VLOOKUP($D41,$AC$10:$AU$29,AT$71,FALSE),0)</f>
        <v>7</v>
      </c>
      <c r="AU41" s="1">
        <f t="shared" si="8"/>
        <v>2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4</v>
      </c>
      <c r="F43" s="1">
        <f t="shared" si="5"/>
        <v>4</v>
      </c>
      <c r="G43" s="1">
        <f t="shared" si="5"/>
        <v>1</v>
      </c>
      <c r="H43" s="1">
        <f t="shared" si="5"/>
        <v>1</v>
      </c>
      <c r="I43" s="1">
        <f t="shared" si="5"/>
        <v>0</v>
      </c>
      <c r="J43" s="1">
        <f t="shared" si="5"/>
        <v>1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1</v>
      </c>
      <c r="Q43" s="1">
        <f t="shared" si="5"/>
        <v>2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2</v>
      </c>
      <c r="AA43" s="1">
        <f t="shared" si="6"/>
        <v>2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3</v>
      </c>
      <c r="F44" s="1">
        <f t="shared" si="5"/>
        <v>2</v>
      </c>
      <c r="G44" s="1">
        <f t="shared" si="5"/>
        <v>0</v>
      </c>
      <c r="H44" s="1">
        <f t="shared" si="5"/>
        <v>2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1</v>
      </c>
      <c r="P44" s="1">
        <f t="shared" si="5"/>
        <v>0</v>
      </c>
      <c r="Q44" s="1">
        <f t="shared" si="5"/>
        <v>2</v>
      </c>
      <c r="R44" s="1">
        <f t="shared" si="5"/>
        <v>0</v>
      </c>
      <c r="S44" s="1">
        <f t="shared" si="5"/>
        <v>0</v>
      </c>
      <c r="T44" s="1">
        <f t="shared" si="5"/>
        <v>1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1</v>
      </c>
      <c r="Y44" s="1">
        <f t="shared" si="6"/>
        <v>2</v>
      </c>
      <c r="Z44" s="1">
        <f t="shared" si="6"/>
        <v>1</v>
      </c>
      <c r="AA44" s="1">
        <f t="shared" si="6"/>
        <v>1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4</v>
      </c>
      <c r="G53" s="1">
        <f t="shared" si="5"/>
        <v>1</v>
      </c>
      <c r="H53" s="1">
        <f t="shared" si="5"/>
        <v>1</v>
      </c>
      <c r="I53" s="1">
        <f t="shared" si="5"/>
        <v>1</v>
      </c>
      <c r="J53" s="1">
        <f t="shared" si="5"/>
        <v>1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1</v>
      </c>
      <c r="O53" s="1">
        <f t="shared" si="5"/>
        <v>1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1</v>
      </c>
      <c r="Z53" s="1">
        <f t="shared" si="6"/>
        <v>0</v>
      </c>
      <c r="AA53" s="1">
        <f t="shared" si="6"/>
        <v>1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3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1</v>
      </c>
      <c r="R56" s="1">
        <f t="shared" si="5"/>
        <v>1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6</v>
      </c>
      <c r="Z56" s="1">
        <f t="shared" si="6"/>
        <v>2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3</v>
      </c>
      <c r="F57" s="1">
        <f t="shared" si="10"/>
        <v>2</v>
      </c>
      <c r="G57" s="1">
        <f t="shared" si="10"/>
        <v>2</v>
      </c>
      <c r="H57" s="1">
        <f t="shared" si="10"/>
        <v>1</v>
      </c>
      <c r="I57" s="1">
        <f t="shared" si="10"/>
        <v>1</v>
      </c>
      <c r="J57" s="1">
        <f t="shared" si="10"/>
        <v>2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1</v>
      </c>
      <c r="O57" s="1">
        <f t="shared" si="10"/>
        <v>0</v>
      </c>
      <c r="P57" s="1">
        <f t="shared" si="10"/>
        <v>1</v>
      </c>
      <c r="Q57" s="1">
        <f t="shared" si="10"/>
        <v>0</v>
      </c>
      <c r="R57" s="1">
        <f t="shared" si="10"/>
        <v>1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1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4</v>
      </c>
      <c r="Z57" s="1">
        <f t="shared" si="11"/>
        <v>2</v>
      </c>
      <c r="AA57" s="1">
        <f t="shared" si="11"/>
        <v>0</v>
      </c>
      <c r="AD57" s="1">
        <f t="shared" ref="AD57:AS70" si="12">IFERROR(VLOOKUP($D57,$AC$10:$AU$29,AD$71,FALSE),0)</f>
        <v>1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0.66666666666666663</v>
      </c>
      <c r="AL57" s="1">
        <f t="shared" si="12"/>
        <v>10</v>
      </c>
      <c r="AM57" s="1">
        <f t="shared" si="12"/>
        <v>2</v>
      </c>
      <c r="AN57" s="1">
        <f t="shared" si="12"/>
        <v>0</v>
      </c>
      <c r="AO57" s="1">
        <f t="shared" si="12"/>
        <v>3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1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3</v>
      </c>
      <c r="F60" s="1">
        <f t="shared" si="10"/>
        <v>2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1</v>
      </c>
      <c r="O60" s="1">
        <f t="shared" si="10"/>
        <v>0</v>
      </c>
      <c r="P60" s="1">
        <f t="shared" si="10"/>
        <v>2</v>
      </c>
      <c r="Q60" s="1">
        <f t="shared" si="10"/>
        <v>0</v>
      </c>
      <c r="R60" s="1">
        <f t="shared" si="10"/>
        <v>1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4</v>
      </c>
      <c r="F61" s="1">
        <f t="shared" si="10"/>
        <v>3</v>
      </c>
      <c r="G61" s="1">
        <f t="shared" si="10"/>
        <v>1</v>
      </c>
      <c r="H61" s="1">
        <f t="shared" si="10"/>
        <v>2</v>
      </c>
      <c r="I61" s="1">
        <f t="shared" si="10"/>
        <v>1</v>
      </c>
      <c r="J61" s="1">
        <f t="shared" si="10"/>
        <v>0</v>
      </c>
      <c r="K61" s="1">
        <f t="shared" si="10"/>
        <v>1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1</v>
      </c>
      <c r="P61" s="1">
        <f t="shared" si="10"/>
        <v>1</v>
      </c>
      <c r="Q61" s="1">
        <f t="shared" si="10"/>
        <v>1</v>
      </c>
      <c r="R61" s="1">
        <f t="shared" si="10"/>
        <v>1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2</v>
      </c>
      <c r="AA61" s="1">
        <f t="shared" si="11"/>
        <v>0</v>
      </c>
      <c r="AD61" s="1">
        <f t="shared" si="12"/>
        <v>1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1</v>
      </c>
      <c r="AK61" s="1">
        <f t="shared" si="12"/>
        <v>0.33333333333333331</v>
      </c>
      <c r="AL61" s="1">
        <f t="shared" si="12"/>
        <v>42</v>
      </c>
      <c r="AM61" s="1">
        <f t="shared" si="12"/>
        <v>2</v>
      </c>
      <c r="AN61" s="1">
        <f t="shared" si="12"/>
        <v>4</v>
      </c>
      <c r="AO61" s="1">
        <f t="shared" si="12"/>
        <v>9</v>
      </c>
      <c r="AP61" s="1">
        <f t="shared" si="12"/>
        <v>0</v>
      </c>
      <c r="AQ61" s="1">
        <f t="shared" si="12"/>
        <v>2</v>
      </c>
      <c r="AR61" s="1">
        <f t="shared" si="12"/>
        <v>0</v>
      </c>
      <c r="AS61" s="1">
        <f t="shared" si="12"/>
        <v>0</v>
      </c>
      <c r="AT61" s="1">
        <f t="shared" si="13"/>
        <v>3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4</v>
      </c>
      <c r="F63" s="1">
        <f t="shared" si="10"/>
        <v>2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1</v>
      </c>
      <c r="Q63" s="1">
        <f t="shared" si="10"/>
        <v>2</v>
      </c>
      <c r="R63" s="1">
        <f t="shared" si="10"/>
        <v>2</v>
      </c>
      <c r="S63" s="1">
        <f t="shared" si="10"/>
        <v>0</v>
      </c>
      <c r="T63" s="1">
        <f t="shared" si="10"/>
        <v>0</v>
      </c>
      <c r="U63" s="1">
        <f t="shared" si="11"/>
        <v>1</v>
      </c>
      <c r="V63" s="1">
        <f t="shared" si="11"/>
        <v>1</v>
      </c>
      <c r="W63" s="1">
        <f t="shared" si="11"/>
        <v>0</v>
      </c>
      <c r="X63" s="1">
        <f t="shared" si="11"/>
        <v>0</v>
      </c>
      <c r="Y63" s="1">
        <f t="shared" si="11"/>
        <v>4</v>
      </c>
      <c r="Z63" s="1">
        <f t="shared" si="11"/>
        <v>0</v>
      </c>
      <c r="AA63" s="1">
        <f t="shared" si="11"/>
        <v>2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勝敗" prompt="勝敗を選択してください" sqref="C4:C6" xr:uid="{BBABC29D-9768-4089-8FD5-8E136D27AEDA}">
      <formula1>"○,●,△"</formula1>
    </dataValidation>
    <dataValidation type="date" allowBlank="1" showInputMessage="1" showErrorMessage="1" promptTitle="日付入力" prompt="日付を入力してください" sqref="A2:D2" xr:uid="{95A06E99-8BBD-41E9-9C3F-BAFF77FDC827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0E834EC7-3068-434C-AD6C-68655D7BF7CF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46D14F1C-279F-4065-A61D-DD492AE8C4F7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3D01D179-8DB2-4CB0-9B98-FF2801FFDAF2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CCB97C42-9EB4-4464-9265-D0CC98E5104E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945DF069-57CB-4A9B-9A11-8D2F1FE7CCCF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E2DBB917-5874-4175-BE12-C22BD7156A6F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85E41D57-EABE-4B08-A152-C2FFDF959557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2C37F5E9-FED3-4D09-B050-80E0FB6111A1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7399492A-52FB-4AD4-9DC2-D240DC314AD7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8A1404E9-EE21-4BE8-B7DC-DC6ACEF3D863}">
          <x14:formula1>
            <xm:f>データ!$A:$A</xm:f>
          </x14:formula1>
          <xm:sqref>D41:D70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5013E-8420-413A-89EC-AF993B2C70CE}">
  <sheetPr codeName="Sheet9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45459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226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0.625</v>
      </c>
      <c r="AD2" s="17" t="s">
        <v>46</v>
      </c>
      <c r="AE2" s="92">
        <v>0.70833333333333337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1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1</v>
      </c>
      <c r="U5" s="10">
        <f>IF(D5="九州工業大学",G30,AT30)</f>
        <v>4</v>
      </c>
      <c r="V5" s="10">
        <f>IF(D5="九州工業大学",AA30,N30)</f>
        <v>6</v>
      </c>
      <c r="AC5" s="14" t="s">
        <v>94</v>
      </c>
    </row>
    <row r="6" spans="1:47" ht="18" thickBot="1" x14ac:dyDescent="0.75">
      <c r="C6" s="95"/>
      <c r="D6" s="95" t="s">
        <v>226</v>
      </c>
      <c r="E6" s="95"/>
      <c r="F6" s="95"/>
      <c r="G6" s="2">
        <v>0</v>
      </c>
      <c r="H6" s="2">
        <v>4</v>
      </c>
      <c r="I6" s="2">
        <v>1</v>
      </c>
      <c r="J6" s="2">
        <v>2</v>
      </c>
      <c r="K6" s="2">
        <v>2</v>
      </c>
      <c r="L6" s="2">
        <v>0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9</v>
      </c>
      <c r="U6" s="10">
        <f>IF(D6="九州工業大学",G30,AT30)</f>
        <v>9</v>
      </c>
      <c r="V6" s="10">
        <f>IF(D6="九州工業大学",AA30,N30)</f>
        <v>3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33</v>
      </c>
      <c r="D10" s="7" t="s">
        <v>65</v>
      </c>
      <c r="E10" s="9">
        <v>4</v>
      </c>
      <c r="F10" s="10">
        <f>IF(D10="","",E10-R10-S10-W10-X10)</f>
        <v>4</v>
      </c>
      <c r="G10" s="10">
        <f>IF(D10="","",SUM(J10:M10))</f>
        <v>1</v>
      </c>
      <c r="H10" s="9"/>
      <c r="I10" s="9"/>
      <c r="J10" s="9">
        <v>1</v>
      </c>
      <c r="K10" s="9"/>
      <c r="L10" s="9"/>
      <c r="M10" s="9"/>
      <c r="N10" s="9"/>
      <c r="O10" s="9"/>
      <c r="P10" s="9"/>
      <c r="Q10" s="9">
        <v>1</v>
      </c>
      <c r="R10" s="9"/>
      <c r="S10" s="9"/>
      <c r="T10" s="9"/>
      <c r="U10" s="9"/>
      <c r="V10" s="9"/>
      <c r="W10" s="9"/>
      <c r="X10" s="9"/>
      <c r="Y10" s="9">
        <v>1</v>
      </c>
      <c r="Z10" s="9">
        <v>1</v>
      </c>
      <c r="AA10" s="9">
        <v>2</v>
      </c>
      <c r="AB10" s="10">
        <f>IF(AC10="","",VLOOKUP(AC10,データ!A:C,2,FALSE))</f>
        <v>21</v>
      </c>
      <c r="AC10" s="7" t="s">
        <v>79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1</v>
      </c>
      <c r="AK10" s="18">
        <f>2/3</f>
        <v>0.66666666666666663</v>
      </c>
      <c r="AL10" s="9">
        <v>51</v>
      </c>
      <c r="AM10" s="9">
        <v>3</v>
      </c>
      <c r="AN10" s="9">
        <v>2</v>
      </c>
      <c r="AO10" s="9">
        <v>12</v>
      </c>
      <c r="AP10" s="9">
        <v>1</v>
      </c>
      <c r="AQ10" s="9">
        <v>3</v>
      </c>
      <c r="AR10" s="9">
        <v>1</v>
      </c>
      <c r="AS10" s="9"/>
      <c r="AT10" s="9">
        <v>2</v>
      </c>
      <c r="AU10" s="9"/>
    </row>
    <row r="11" spans="1:47" x14ac:dyDescent="0.7">
      <c r="A11" s="2">
        <v>2</v>
      </c>
      <c r="B11" s="8" t="s">
        <v>104</v>
      </c>
      <c r="C11" s="10">
        <f>IF(D11="","",VLOOKUP(D11,データ!A:C,2,FALSE))</f>
        <v>53</v>
      </c>
      <c r="D11" s="7" t="s">
        <v>53</v>
      </c>
      <c r="E11" s="9">
        <v>3</v>
      </c>
      <c r="F11" s="10">
        <f t="shared" ref="F11:F29" si="0">IF(D11="","",E11-R11-S11-W11-X11)</f>
        <v>2</v>
      </c>
      <c r="G11" s="10">
        <f t="shared" ref="G11:G29" si="1">IF(D11="","",SUM(J11:M11))</f>
        <v>2</v>
      </c>
      <c r="H11" s="9">
        <v>1</v>
      </c>
      <c r="I11" s="9">
        <v>1</v>
      </c>
      <c r="J11" s="9">
        <v>2</v>
      </c>
      <c r="K11" s="9"/>
      <c r="L11" s="9"/>
      <c r="M11" s="9"/>
      <c r="N11" s="9">
        <v>1</v>
      </c>
      <c r="O11" s="9"/>
      <c r="P11" s="9"/>
      <c r="Q11" s="9"/>
      <c r="R11" s="9">
        <v>1</v>
      </c>
      <c r="S11" s="9"/>
      <c r="T11" s="9"/>
      <c r="U11" s="9"/>
      <c r="V11" s="9"/>
      <c r="W11" s="9"/>
      <c r="X11" s="9"/>
      <c r="Y11" s="9">
        <v>1</v>
      </c>
      <c r="Z11" s="9"/>
      <c r="AA11" s="9">
        <v>1</v>
      </c>
      <c r="AB11" s="10">
        <f>IF(AC11="","",VLOOKUP(AC11,データ!A:C,2,FALSE))</f>
        <v>1</v>
      </c>
      <c r="AC11" s="7" t="s">
        <v>81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4</v>
      </c>
      <c r="AK11" s="18">
        <f>1/3</f>
        <v>0.33333333333333331</v>
      </c>
      <c r="AL11" s="9">
        <v>87</v>
      </c>
      <c r="AM11" s="9">
        <v>5</v>
      </c>
      <c r="AN11" s="9">
        <v>2</v>
      </c>
      <c r="AO11" s="9">
        <v>24</v>
      </c>
      <c r="AP11" s="9">
        <v>4</v>
      </c>
      <c r="AQ11" s="9">
        <v>3</v>
      </c>
      <c r="AR11" s="9"/>
      <c r="AS11" s="9"/>
      <c r="AT11" s="9">
        <v>7</v>
      </c>
      <c r="AU11" s="9"/>
    </row>
    <row r="12" spans="1:47" x14ac:dyDescent="0.7">
      <c r="A12" s="2">
        <v>3</v>
      </c>
      <c r="B12" s="8" t="s">
        <v>101</v>
      </c>
      <c r="C12" s="10">
        <f>IF(D12="","",VLOOKUP(D12,データ!A:C,2,FALSE))</f>
        <v>21</v>
      </c>
      <c r="D12" s="7" t="s">
        <v>79</v>
      </c>
      <c r="E12" s="9">
        <v>2</v>
      </c>
      <c r="F12" s="10">
        <f t="shared" si="0"/>
        <v>2</v>
      </c>
      <c r="G12" s="10">
        <f t="shared" si="1"/>
        <v>0</v>
      </c>
      <c r="H12" s="9">
        <v>2</v>
      </c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1</v>
      </c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18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108</v>
      </c>
      <c r="C13" s="10">
        <f>IF(D13="","",VLOOKUP(D13,データ!A:C,2,FALSE))</f>
        <v>23</v>
      </c>
      <c r="D13" s="7" t="s">
        <v>183</v>
      </c>
      <c r="E13" s="9">
        <v>2</v>
      </c>
      <c r="F13" s="10">
        <f t="shared" si="0"/>
        <v>1</v>
      </c>
      <c r="G13" s="10">
        <f t="shared" si="1"/>
        <v>0</v>
      </c>
      <c r="H13" s="9">
        <v>1</v>
      </c>
      <c r="I13" s="9"/>
      <c r="J13" s="9"/>
      <c r="K13" s="9"/>
      <c r="L13" s="9"/>
      <c r="M13" s="9"/>
      <c r="N13" s="9"/>
      <c r="O13" s="9"/>
      <c r="P13" s="9"/>
      <c r="Q13" s="9"/>
      <c r="R13" s="9">
        <v>1</v>
      </c>
      <c r="S13" s="9"/>
      <c r="T13" s="9"/>
      <c r="U13" s="9"/>
      <c r="V13" s="9">
        <v>1</v>
      </c>
      <c r="W13" s="9"/>
      <c r="X13" s="9"/>
      <c r="Y13" s="9"/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18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105</v>
      </c>
      <c r="C14" s="10">
        <f>IF(D14="","",VLOOKUP(D14,データ!A:C,2,FALSE))</f>
        <v>12</v>
      </c>
      <c r="D14" s="7" t="s">
        <v>75</v>
      </c>
      <c r="E14" s="9">
        <v>3</v>
      </c>
      <c r="F14" s="10">
        <f t="shared" si="0"/>
        <v>3</v>
      </c>
      <c r="G14" s="10">
        <f t="shared" si="1"/>
        <v>0</v>
      </c>
      <c r="H14" s="9"/>
      <c r="I14" s="9"/>
      <c r="J14" s="9"/>
      <c r="K14" s="9"/>
      <c r="L14" s="9"/>
      <c r="M14" s="9"/>
      <c r="N14" s="9"/>
      <c r="O14" s="9"/>
      <c r="P14" s="9"/>
      <c r="Q14" s="9">
        <v>1</v>
      </c>
      <c r="R14" s="9"/>
      <c r="S14" s="9"/>
      <c r="T14" s="9"/>
      <c r="U14" s="9"/>
      <c r="V14" s="9"/>
      <c r="W14" s="9"/>
      <c r="X14" s="9"/>
      <c r="Y14" s="9">
        <v>5</v>
      </c>
      <c r="Z14" s="9">
        <v>1</v>
      </c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18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103</v>
      </c>
      <c r="C15" s="10">
        <f>IF(D15="","",VLOOKUP(D15,データ!A:C,2,FALSE))</f>
        <v>3</v>
      </c>
      <c r="D15" s="7" t="s">
        <v>73</v>
      </c>
      <c r="E15" s="9">
        <v>2</v>
      </c>
      <c r="F15" s="10">
        <f t="shared" si="0"/>
        <v>2</v>
      </c>
      <c r="G15" s="10">
        <f t="shared" si="1"/>
        <v>0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>
        <v>3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18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107</v>
      </c>
      <c r="C16" s="10">
        <f>IF(D16="","",VLOOKUP(D16,データ!A:C,2,FALSE))</f>
        <v>99</v>
      </c>
      <c r="D16" s="7" t="s">
        <v>59</v>
      </c>
      <c r="E16" s="9">
        <v>3</v>
      </c>
      <c r="F16" s="10">
        <f t="shared" si="0"/>
        <v>2</v>
      </c>
      <c r="G16" s="10">
        <f t="shared" si="1"/>
        <v>0</v>
      </c>
      <c r="H16" s="9">
        <v>1</v>
      </c>
      <c r="I16" s="9"/>
      <c r="J16" s="9"/>
      <c r="K16" s="9"/>
      <c r="L16" s="9"/>
      <c r="M16" s="9"/>
      <c r="N16" s="9">
        <v>1</v>
      </c>
      <c r="O16" s="9"/>
      <c r="P16" s="9"/>
      <c r="Q16" s="9"/>
      <c r="R16" s="9">
        <v>1</v>
      </c>
      <c r="S16" s="9"/>
      <c r="T16" s="9"/>
      <c r="U16" s="9"/>
      <c r="V16" s="9"/>
      <c r="W16" s="9"/>
      <c r="X16" s="9"/>
      <c r="Y16" s="9">
        <v>1</v>
      </c>
      <c r="Z16" s="9">
        <v>1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18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109</v>
      </c>
      <c r="C17" s="10">
        <f>IF(D17="","",VLOOKUP(D17,データ!A:C,2,FALSE))</f>
        <v>5</v>
      </c>
      <c r="D17" s="7" t="s">
        <v>57</v>
      </c>
      <c r="E17" s="9">
        <v>3</v>
      </c>
      <c r="F17" s="10">
        <f t="shared" si="0"/>
        <v>2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>
        <v>1</v>
      </c>
      <c r="S17" s="9"/>
      <c r="T17" s="9"/>
      <c r="U17" s="9"/>
      <c r="V17" s="9"/>
      <c r="W17" s="9"/>
      <c r="X17" s="9"/>
      <c r="Y17" s="9">
        <v>1</v>
      </c>
      <c r="Z17" s="9"/>
      <c r="AA17" s="9">
        <v>1</v>
      </c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18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106</v>
      </c>
      <c r="C18" s="10">
        <f>IF(D18="","",VLOOKUP(D18,データ!A:C,2,FALSE))</f>
        <v>1</v>
      </c>
      <c r="D18" s="7" t="s">
        <v>81</v>
      </c>
      <c r="E18" s="9">
        <v>3</v>
      </c>
      <c r="F18" s="10">
        <f t="shared" si="0"/>
        <v>3</v>
      </c>
      <c r="G18" s="10">
        <f t="shared" si="1"/>
        <v>1</v>
      </c>
      <c r="H18" s="9">
        <v>1</v>
      </c>
      <c r="I18" s="9"/>
      <c r="J18" s="9">
        <v>1</v>
      </c>
      <c r="K18" s="9"/>
      <c r="L18" s="9"/>
      <c r="M18" s="9"/>
      <c r="N18" s="9"/>
      <c r="O18" s="9"/>
      <c r="P18" s="9">
        <v>1</v>
      </c>
      <c r="Q18" s="9">
        <v>1</v>
      </c>
      <c r="R18" s="9"/>
      <c r="S18" s="9"/>
      <c r="T18" s="9"/>
      <c r="U18" s="9"/>
      <c r="V18" s="9"/>
      <c r="W18" s="9"/>
      <c r="X18" s="9"/>
      <c r="Y18" s="9">
        <v>4</v>
      </c>
      <c r="Z18" s="9">
        <v>2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18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106</v>
      </c>
      <c r="C19" s="10">
        <f>IF(D19="","",VLOOKUP(D19,データ!A:C,2,FALSE))</f>
        <v>7</v>
      </c>
      <c r="D19" s="7" t="s">
        <v>216</v>
      </c>
      <c r="E19" s="9">
        <v>1</v>
      </c>
      <c r="F19" s="10">
        <f t="shared" si="0"/>
        <v>1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18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103</v>
      </c>
      <c r="C20" s="10">
        <f>IF(D20="","",VLOOKUP(D20,データ!A:C,2,FALSE))</f>
        <v>50</v>
      </c>
      <c r="D20" s="7" t="s">
        <v>63</v>
      </c>
      <c r="E20" s="9">
        <v>2</v>
      </c>
      <c r="F20" s="10">
        <f t="shared" si="0"/>
        <v>2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>
        <v>1</v>
      </c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18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108</v>
      </c>
      <c r="C21" s="10">
        <f>IF(D21="","",VLOOKUP(D21,データ!A:C,2,FALSE))</f>
        <v>9</v>
      </c>
      <c r="D21" s="7" t="s">
        <v>217</v>
      </c>
      <c r="E21" s="9">
        <v>2</v>
      </c>
      <c r="F21" s="10">
        <f t="shared" si="0"/>
        <v>2</v>
      </c>
      <c r="G21" s="10">
        <f t="shared" si="1"/>
        <v>0</v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>
        <v>1</v>
      </c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18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 t="s">
        <v>107</v>
      </c>
      <c r="C22" s="10">
        <f>IF(D22="","",VLOOKUP(D22,データ!A:C,2,FALSE))</f>
        <v>51</v>
      </c>
      <c r="D22" s="7" t="s">
        <v>61</v>
      </c>
      <c r="E22" s="9">
        <v>1</v>
      </c>
      <c r="F22" s="10">
        <f t="shared" si="0"/>
        <v>1</v>
      </c>
      <c r="G22" s="10">
        <f t="shared" si="1"/>
        <v>0</v>
      </c>
      <c r="H22" s="9"/>
      <c r="I22" s="9"/>
      <c r="J22" s="9"/>
      <c r="K22" s="9"/>
      <c r="L22" s="9"/>
      <c r="M22" s="9"/>
      <c r="N22" s="9">
        <v>1</v>
      </c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18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18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18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18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18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18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18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18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31</v>
      </c>
      <c r="F30" s="1">
        <f t="shared" si="3"/>
        <v>27</v>
      </c>
      <c r="G30" s="1">
        <f t="shared" si="3"/>
        <v>4</v>
      </c>
      <c r="H30" s="1">
        <f t="shared" si="3"/>
        <v>6</v>
      </c>
      <c r="I30" s="1">
        <f t="shared" si="3"/>
        <v>1</v>
      </c>
      <c r="J30" s="1">
        <f t="shared" si="3"/>
        <v>4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3</v>
      </c>
      <c r="O30" s="1">
        <f t="shared" si="3"/>
        <v>0</v>
      </c>
      <c r="P30" s="1">
        <f t="shared" si="3"/>
        <v>1</v>
      </c>
      <c r="Q30" s="1">
        <f t="shared" si="3"/>
        <v>4</v>
      </c>
      <c r="R30" s="1">
        <f t="shared" si="3"/>
        <v>4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1</v>
      </c>
      <c r="W30" s="1">
        <f t="shared" si="3"/>
        <v>0</v>
      </c>
      <c r="X30" s="1">
        <f t="shared" si="3"/>
        <v>0</v>
      </c>
      <c r="Y30" s="1">
        <f t="shared" si="3"/>
        <v>18</v>
      </c>
      <c r="Z30" s="1">
        <f t="shared" si="3"/>
        <v>5</v>
      </c>
      <c r="AA30" s="1">
        <f t="shared" si="3"/>
        <v>6</v>
      </c>
      <c r="AJ30" s="1">
        <f t="shared" ref="AJ30:AU30" si="4">SUM(AJ10:AJ29)</f>
        <v>5</v>
      </c>
      <c r="AK30" s="19">
        <f t="shared" si="4"/>
        <v>1</v>
      </c>
      <c r="AL30" s="1">
        <f t="shared" si="4"/>
        <v>138</v>
      </c>
      <c r="AM30" s="1">
        <f t="shared" si="4"/>
        <v>8</v>
      </c>
      <c r="AN30" s="1">
        <f t="shared" si="4"/>
        <v>4</v>
      </c>
      <c r="AO30" s="1">
        <f t="shared" si="4"/>
        <v>36</v>
      </c>
      <c r="AP30" s="1">
        <f t="shared" si="4"/>
        <v>5</v>
      </c>
      <c r="AQ30" s="1">
        <f t="shared" si="4"/>
        <v>6</v>
      </c>
      <c r="AR30" s="1">
        <f>SUM(AR10:AR29)</f>
        <v>1</v>
      </c>
      <c r="AS30" s="1">
        <f>SUM(AS10:AS29)</f>
        <v>0</v>
      </c>
      <c r="AT30" s="1">
        <f>SUM(AT10:AT29)</f>
        <v>9</v>
      </c>
      <c r="AU30" s="1">
        <f t="shared" si="4"/>
        <v>0</v>
      </c>
    </row>
    <row r="31" spans="1:47" ht="14.25" x14ac:dyDescent="0.7">
      <c r="D31" s="1">
        <f>G30/F30</f>
        <v>0.14814814814814814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3</v>
      </c>
      <c r="G41" s="1">
        <f t="shared" si="5"/>
        <v>1</v>
      </c>
      <c r="H41" s="1">
        <f t="shared" si="5"/>
        <v>1</v>
      </c>
      <c r="I41" s="1">
        <f t="shared" si="5"/>
        <v>0</v>
      </c>
      <c r="J41" s="1">
        <f t="shared" si="5"/>
        <v>1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1</v>
      </c>
      <c r="Q41" s="1">
        <f t="shared" si="5"/>
        <v>1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4</v>
      </c>
      <c r="Z41" s="1">
        <f t="shared" si="6"/>
        <v>2</v>
      </c>
      <c r="AA41" s="1">
        <f t="shared" si="6"/>
        <v>1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4</v>
      </c>
      <c r="AK41" s="1">
        <f t="shared" si="7"/>
        <v>0.33333333333333331</v>
      </c>
      <c r="AL41" s="1">
        <f t="shared" si="7"/>
        <v>87</v>
      </c>
      <c r="AM41" s="1">
        <f t="shared" si="7"/>
        <v>5</v>
      </c>
      <c r="AN41" s="1">
        <f t="shared" si="7"/>
        <v>2</v>
      </c>
      <c r="AO41" s="1">
        <f t="shared" si="7"/>
        <v>24</v>
      </c>
      <c r="AP41" s="1">
        <f t="shared" si="7"/>
        <v>4</v>
      </c>
      <c r="AQ41" s="1">
        <f t="shared" si="7"/>
        <v>3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7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2</v>
      </c>
      <c r="F42" s="1">
        <f t="shared" si="5"/>
        <v>2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3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3</v>
      </c>
      <c r="F43" s="1">
        <f t="shared" si="5"/>
        <v>2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1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1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1</v>
      </c>
      <c r="F44" s="1">
        <f t="shared" si="5"/>
        <v>1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1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2</v>
      </c>
      <c r="F46" s="1">
        <f t="shared" si="5"/>
        <v>2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1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3</v>
      </c>
      <c r="F48" s="1">
        <f t="shared" si="5"/>
        <v>3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1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5</v>
      </c>
      <c r="Z48" s="1">
        <f t="shared" si="6"/>
        <v>1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2</v>
      </c>
      <c r="F51" s="1">
        <f t="shared" si="5"/>
        <v>2</v>
      </c>
      <c r="G51" s="1">
        <f t="shared" si="5"/>
        <v>0</v>
      </c>
      <c r="H51" s="1">
        <f t="shared" si="5"/>
        <v>2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1</v>
      </c>
      <c r="Z51" s="1">
        <f t="shared" si="6"/>
        <v>0</v>
      </c>
      <c r="AA51" s="1">
        <f t="shared" si="6"/>
        <v>0</v>
      </c>
      <c r="AD51" s="1">
        <f t="shared" si="7"/>
        <v>1</v>
      </c>
      <c r="AE51" s="1">
        <f t="shared" si="7"/>
        <v>0</v>
      </c>
      <c r="AF51" s="1">
        <f t="shared" si="7"/>
        <v>1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1</v>
      </c>
      <c r="AK51" s="1">
        <f t="shared" si="7"/>
        <v>0.66666666666666663</v>
      </c>
      <c r="AL51" s="1">
        <f t="shared" si="7"/>
        <v>51</v>
      </c>
      <c r="AM51" s="1">
        <f t="shared" si="7"/>
        <v>3</v>
      </c>
      <c r="AN51" s="1">
        <f t="shared" si="7"/>
        <v>2</v>
      </c>
      <c r="AO51" s="1">
        <f t="shared" si="7"/>
        <v>12</v>
      </c>
      <c r="AP51" s="1">
        <f t="shared" si="7"/>
        <v>1</v>
      </c>
      <c r="AQ51" s="1">
        <f t="shared" si="7"/>
        <v>3</v>
      </c>
      <c r="AR51" s="1">
        <f t="shared" si="7"/>
        <v>1</v>
      </c>
      <c r="AS51" s="1">
        <f t="shared" si="7"/>
        <v>0</v>
      </c>
      <c r="AT51" s="1">
        <f t="shared" si="8"/>
        <v>2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2</v>
      </c>
      <c r="F53" s="1">
        <f t="shared" si="5"/>
        <v>1</v>
      </c>
      <c r="G53" s="1">
        <f t="shared" si="5"/>
        <v>0</v>
      </c>
      <c r="H53" s="1">
        <f t="shared" si="5"/>
        <v>1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1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1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4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1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1</v>
      </c>
      <c r="AA56" s="1">
        <f t="shared" si="6"/>
        <v>2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2</v>
      </c>
      <c r="F59" s="1">
        <f t="shared" si="10"/>
        <v>2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1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1</v>
      </c>
      <c r="F60" s="1">
        <f t="shared" si="10"/>
        <v>1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1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2</v>
      </c>
      <c r="G61" s="1">
        <f t="shared" si="10"/>
        <v>2</v>
      </c>
      <c r="H61" s="1">
        <f t="shared" si="10"/>
        <v>1</v>
      </c>
      <c r="I61" s="1">
        <f t="shared" si="10"/>
        <v>1</v>
      </c>
      <c r="J61" s="1">
        <f t="shared" si="10"/>
        <v>2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1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1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2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1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1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1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勝敗" prompt="勝敗を選択してください" sqref="C4:C6" xr:uid="{37E8EE0B-6886-4F6B-A478-339FD5AAB6DE}">
      <formula1>"○,●,△"</formula1>
    </dataValidation>
    <dataValidation type="date" allowBlank="1" showInputMessage="1" showErrorMessage="1" promptTitle="日付入力" prompt="日付を入力してください" sqref="A2:D2" xr:uid="{9D099A77-F692-46D4-AC72-1FC82E7DE7BD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74312A8F-4A8C-412D-AFF1-B928287800B3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F94EF539-0F7A-436A-9DA6-ABA4772D1DE5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25A748D3-1BC7-49CE-B033-09B660EC1DE0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44CEBB3E-290F-4CD9-B34B-ED898F151BE0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873E164C-66ED-4C53-BC75-48542C96350D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076895B3-0BF3-4DC7-B8AC-A9F05119B59D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72A01A24-DF40-4154-B12F-CF6B53425657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09AD4FCA-FA7B-4EEA-B51D-02E56B4594CD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E27DB293-D7C2-4243-A3D5-8E0A073DAB23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3A6B0A81-4CD5-485B-9C41-E55F2B096B7B}">
          <x14:formula1>
            <xm:f>データ!$A:$A</xm:f>
          </x14:formula1>
          <xm:sqref>D41:D70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2F5F9-2CA6-4979-9BBF-50A4FCD01019}">
  <sheetPr codeName="Sheet10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45459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225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0.54166666666666663</v>
      </c>
      <c r="AD2" s="17" t="s">
        <v>46</v>
      </c>
      <c r="AE2" s="92">
        <v>0.625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0</v>
      </c>
      <c r="U5" s="10">
        <f>IF(D5="九州工業大学",G30,AT30)</f>
        <v>3</v>
      </c>
      <c r="V5" s="10">
        <f>IF(D5="九州工業大学",AA30,N30)</f>
        <v>3</v>
      </c>
      <c r="AC5" s="14" t="s">
        <v>94</v>
      </c>
    </row>
    <row r="6" spans="1:47" ht="18" thickBot="1" x14ac:dyDescent="0.75">
      <c r="C6" s="95"/>
      <c r="D6" s="95" t="s">
        <v>225</v>
      </c>
      <c r="E6" s="95"/>
      <c r="F6" s="95"/>
      <c r="G6" s="2">
        <v>0</v>
      </c>
      <c r="H6" s="2">
        <v>0</v>
      </c>
      <c r="I6" s="2">
        <v>0</v>
      </c>
      <c r="J6" s="2">
        <v>1</v>
      </c>
      <c r="K6" s="2">
        <v>1</v>
      </c>
      <c r="L6" s="2">
        <v>2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4</v>
      </c>
      <c r="U6" s="10">
        <f>IF(D6="九州工業大学",G30,AT30)</f>
        <v>3</v>
      </c>
      <c r="V6" s="10">
        <f>IF(D6="九州工業大学",AA30,N30)</f>
        <v>2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1</v>
      </c>
      <c r="D10" s="7" t="s">
        <v>81</v>
      </c>
      <c r="E10" s="9">
        <v>3</v>
      </c>
      <c r="F10" s="10">
        <f>IF(D10="","",E10-R10-S10-W10-X10)</f>
        <v>3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>
        <v>1</v>
      </c>
      <c r="O10" s="9"/>
      <c r="P10" s="9"/>
      <c r="Q10" s="9">
        <v>1</v>
      </c>
      <c r="R10" s="9"/>
      <c r="S10" s="9"/>
      <c r="T10" s="9"/>
      <c r="U10" s="9"/>
      <c r="V10" s="9"/>
      <c r="W10" s="9"/>
      <c r="X10" s="9"/>
      <c r="Y10" s="9">
        <v>1</v>
      </c>
      <c r="Z10" s="9"/>
      <c r="AA10" s="9"/>
      <c r="AB10" s="10">
        <f>IF(AC10="","",VLOOKUP(AC10,データ!A:C,2,FALSE))</f>
        <v>33</v>
      </c>
      <c r="AC10" s="7" t="s">
        <v>65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6</v>
      </c>
      <c r="AK10" s="9"/>
      <c r="AL10" s="9">
        <v>99</v>
      </c>
      <c r="AM10" s="9">
        <v>4</v>
      </c>
      <c r="AN10" s="9"/>
      <c r="AO10" s="9">
        <v>27</v>
      </c>
      <c r="AP10" s="9">
        <v>3</v>
      </c>
      <c r="AQ10" s="9">
        <v>4</v>
      </c>
      <c r="AR10" s="9">
        <v>2</v>
      </c>
      <c r="AS10" s="9">
        <v>1</v>
      </c>
      <c r="AT10" s="9">
        <v>3</v>
      </c>
      <c r="AU10" s="9"/>
    </row>
    <row r="11" spans="1:47" x14ac:dyDescent="0.7">
      <c r="A11" s="2">
        <v>2</v>
      </c>
      <c r="B11" s="8" t="s">
        <v>108</v>
      </c>
      <c r="C11" s="10">
        <f>IF(D11="","",VLOOKUP(D11,データ!A:C,2,FALSE))</f>
        <v>23</v>
      </c>
      <c r="D11" s="7" t="s">
        <v>183</v>
      </c>
      <c r="E11" s="9">
        <v>3</v>
      </c>
      <c r="F11" s="10">
        <f t="shared" ref="F11:F29" si="0">IF(D11="","",E11-R11-S11-W11-X11)</f>
        <v>3</v>
      </c>
      <c r="G11" s="10">
        <f t="shared" ref="G11:G29" si="1">IF(D11="","",SUM(J11:M11))</f>
        <v>0</v>
      </c>
      <c r="H11" s="9">
        <v>1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>
        <v>1</v>
      </c>
      <c r="U11" s="9"/>
      <c r="V11" s="9"/>
      <c r="W11" s="9"/>
      <c r="X11" s="9"/>
      <c r="Y11" s="9">
        <v>3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103</v>
      </c>
      <c r="C12" s="10">
        <f>IF(D12="","",VLOOKUP(D12,データ!A:C,2,FALSE))</f>
        <v>21</v>
      </c>
      <c r="D12" s="7" t="s">
        <v>79</v>
      </c>
      <c r="E12" s="9">
        <v>3</v>
      </c>
      <c r="F12" s="10">
        <f t="shared" si="0"/>
        <v>3</v>
      </c>
      <c r="G12" s="10">
        <f t="shared" si="1"/>
        <v>0</v>
      </c>
      <c r="H12" s="9">
        <v>1</v>
      </c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5</v>
      </c>
      <c r="Z12" s="9">
        <v>1</v>
      </c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12</v>
      </c>
      <c r="D13" s="7" t="s">
        <v>75</v>
      </c>
      <c r="E13" s="9">
        <v>3</v>
      </c>
      <c r="F13" s="10">
        <f t="shared" si="0"/>
        <v>3</v>
      </c>
      <c r="G13" s="10">
        <f t="shared" si="1"/>
        <v>0</v>
      </c>
      <c r="H13" s="9"/>
      <c r="I13" s="9"/>
      <c r="J13" s="9"/>
      <c r="K13" s="9"/>
      <c r="L13" s="9"/>
      <c r="M13" s="9"/>
      <c r="N13" s="9"/>
      <c r="O13" s="9"/>
      <c r="P13" s="9"/>
      <c r="Q13" s="9">
        <v>3</v>
      </c>
      <c r="R13" s="9"/>
      <c r="S13" s="9"/>
      <c r="T13" s="9"/>
      <c r="U13" s="9"/>
      <c r="V13" s="9"/>
      <c r="W13" s="9"/>
      <c r="X13" s="9"/>
      <c r="Y13" s="9">
        <v>5</v>
      </c>
      <c r="Z13" s="9"/>
      <c r="AA13" s="9">
        <v>1</v>
      </c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104</v>
      </c>
      <c r="C14" s="10">
        <f>IF(D14="","",VLOOKUP(D14,データ!A:C,2,FALSE))</f>
        <v>53</v>
      </c>
      <c r="D14" s="7" t="s">
        <v>53</v>
      </c>
      <c r="E14" s="9">
        <v>3</v>
      </c>
      <c r="F14" s="10">
        <f t="shared" si="0"/>
        <v>3</v>
      </c>
      <c r="G14" s="10">
        <f t="shared" si="1"/>
        <v>1</v>
      </c>
      <c r="H14" s="9"/>
      <c r="I14" s="9"/>
      <c r="J14" s="9"/>
      <c r="K14" s="9">
        <v>1</v>
      </c>
      <c r="L14" s="9"/>
      <c r="M14" s="9"/>
      <c r="N14" s="9">
        <v>1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>
        <v>1</v>
      </c>
      <c r="Z14" s="9"/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106</v>
      </c>
      <c r="C15" s="10">
        <f>IF(D15="","",VLOOKUP(D15,データ!A:C,2,FALSE))</f>
        <v>3</v>
      </c>
      <c r="D15" s="7" t="s">
        <v>73</v>
      </c>
      <c r="E15" s="9">
        <v>3</v>
      </c>
      <c r="F15" s="10">
        <f t="shared" si="0"/>
        <v>2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/>
      <c r="R15" s="9">
        <v>1</v>
      </c>
      <c r="S15" s="9"/>
      <c r="T15" s="9"/>
      <c r="U15" s="9"/>
      <c r="V15" s="9"/>
      <c r="W15" s="9"/>
      <c r="X15" s="9"/>
      <c r="Y15" s="9"/>
      <c r="Z15" s="9">
        <v>1</v>
      </c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107</v>
      </c>
      <c r="C16" s="10">
        <f>IF(D16="","",VLOOKUP(D16,データ!A:C,2,FALSE))</f>
        <v>99</v>
      </c>
      <c r="D16" s="7" t="s">
        <v>59</v>
      </c>
      <c r="E16" s="9">
        <v>3</v>
      </c>
      <c r="F16" s="10">
        <f t="shared" si="0"/>
        <v>3</v>
      </c>
      <c r="G16" s="10">
        <f t="shared" si="1"/>
        <v>1</v>
      </c>
      <c r="H16" s="9">
        <v>1</v>
      </c>
      <c r="I16" s="9">
        <v>1</v>
      </c>
      <c r="J16" s="9">
        <v>1</v>
      </c>
      <c r="K16" s="9"/>
      <c r="L16" s="9"/>
      <c r="M16" s="9"/>
      <c r="N16" s="9"/>
      <c r="O16" s="9"/>
      <c r="P16" s="9"/>
      <c r="Q16" s="9">
        <v>1</v>
      </c>
      <c r="R16" s="9"/>
      <c r="S16" s="9"/>
      <c r="T16" s="9"/>
      <c r="U16" s="9"/>
      <c r="V16" s="9"/>
      <c r="W16" s="9"/>
      <c r="X16" s="9"/>
      <c r="Y16" s="9">
        <v>1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109</v>
      </c>
      <c r="C17" s="10">
        <f>IF(D17="","",VLOOKUP(D17,データ!A:C,2,FALSE))</f>
        <v>5</v>
      </c>
      <c r="D17" s="7" t="s">
        <v>57</v>
      </c>
      <c r="E17" s="9">
        <v>2</v>
      </c>
      <c r="F17" s="10">
        <f t="shared" si="0"/>
        <v>2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/>
      <c r="O17" s="9"/>
      <c r="P17" s="9"/>
      <c r="Q17" s="9">
        <v>2</v>
      </c>
      <c r="R17" s="9"/>
      <c r="S17" s="9"/>
      <c r="T17" s="9"/>
      <c r="U17" s="9"/>
      <c r="V17" s="9"/>
      <c r="W17" s="9"/>
      <c r="X17" s="9"/>
      <c r="Y17" s="9">
        <v>1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101</v>
      </c>
      <c r="C18" s="10">
        <f>IF(D18="","",VLOOKUP(D18,データ!A:C,2,FALSE))</f>
        <v>33</v>
      </c>
      <c r="D18" s="7" t="s">
        <v>65</v>
      </c>
      <c r="E18" s="9">
        <v>2</v>
      </c>
      <c r="F18" s="10">
        <f t="shared" si="0"/>
        <v>2</v>
      </c>
      <c r="G18" s="10">
        <f t="shared" si="1"/>
        <v>1</v>
      </c>
      <c r="H18" s="9"/>
      <c r="I18" s="9"/>
      <c r="J18" s="9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>
        <v>1</v>
      </c>
      <c r="Z18" s="9">
        <v>3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/>
      <c r="C19" s="10" t="str">
        <f>IF(D19="","",VLOOKUP(D19,データ!A:C,2,FALSE))</f>
        <v/>
      </c>
      <c r="D19" s="7"/>
      <c r="E19" s="9"/>
      <c r="F19" s="10" t="str">
        <f t="shared" si="0"/>
        <v/>
      </c>
      <c r="G19" s="10" t="str">
        <f t="shared" si="1"/>
        <v/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25</v>
      </c>
      <c r="F30" s="1">
        <f t="shared" si="3"/>
        <v>24</v>
      </c>
      <c r="G30" s="1">
        <f t="shared" si="3"/>
        <v>3</v>
      </c>
      <c r="H30" s="1">
        <f t="shared" si="3"/>
        <v>5</v>
      </c>
      <c r="I30" s="1">
        <f t="shared" si="3"/>
        <v>1</v>
      </c>
      <c r="J30" s="1">
        <f t="shared" si="3"/>
        <v>2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0</v>
      </c>
      <c r="P30" s="1">
        <f t="shared" si="3"/>
        <v>0</v>
      </c>
      <c r="Q30" s="1">
        <f t="shared" si="3"/>
        <v>7</v>
      </c>
      <c r="R30" s="1">
        <f t="shared" si="3"/>
        <v>1</v>
      </c>
      <c r="S30" s="1">
        <f t="shared" si="3"/>
        <v>0</v>
      </c>
      <c r="T30" s="1">
        <f t="shared" si="3"/>
        <v>1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18</v>
      </c>
      <c r="Z30" s="1">
        <f t="shared" si="3"/>
        <v>5</v>
      </c>
      <c r="AA30" s="1">
        <f t="shared" si="3"/>
        <v>3</v>
      </c>
      <c r="AJ30" s="1">
        <f t="shared" ref="AJ30:AU30" si="4">SUM(AJ10:AJ29)</f>
        <v>6</v>
      </c>
      <c r="AK30" s="1">
        <f t="shared" si="4"/>
        <v>0</v>
      </c>
      <c r="AL30" s="1">
        <f t="shared" si="4"/>
        <v>99</v>
      </c>
      <c r="AM30" s="1">
        <f t="shared" si="4"/>
        <v>4</v>
      </c>
      <c r="AN30" s="1">
        <f t="shared" si="4"/>
        <v>0</v>
      </c>
      <c r="AO30" s="1">
        <f t="shared" si="4"/>
        <v>27</v>
      </c>
      <c r="AP30" s="1">
        <f t="shared" si="4"/>
        <v>3</v>
      </c>
      <c r="AQ30" s="1">
        <f t="shared" si="4"/>
        <v>4</v>
      </c>
      <c r="AR30" s="1">
        <f>SUM(AR10:AR29)</f>
        <v>2</v>
      </c>
      <c r="AS30" s="1">
        <f>SUM(AS10:AS29)</f>
        <v>1</v>
      </c>
      <c r="AT30" s="1">
        <f>SUM(AT10:AT29)</f>
        <v>3</v>
      </c>
      <c r="AU30" s="1">
        <f t="shared" si="4"/>
        <v>0</v>
      </c>
    </row>
    <row r="31" spans="1:47" ht="14.25" x14ac:dyDescent="0.7">
      <c r="D31" s="1">
        <f>G30/F30</f>
        <v>0.125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3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1</v>
      </c>
      <c r="O41" s="1">
        <f t="shared" si="5"/>
        <v>0</v>
      </c>
      <c r="P41" s="1">
        <f t="shared" si="5"/>
        <v>0</v>
      </c>
      <c r="Q41" s="1">
        <f t="shared" si="5"/>
        <v>1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1</v>
      </c>
      <c r="Z41" s="1">
        <f t="shared" si="6"/>
        <v>0</v>
      </c>
      <c r="AA41" s="1">
        <f t="shared" si="6"/>
        <v>0</v>
      </c>
      <c r="AD41" s="1">
        <f t="shared" ref="AD41:AS56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si="7"/>
        <v>0</v>
      </c>
      <c r="AO41" s="1">
        <f t="shared" si="7"/>
        <v>0</v>
      </c>
      <c r="AP41" s="1">
        <f t="shared" si="7"/>
        <v>0</v>
      </c>
      <c r="AQ41" s="1">
        <f t="shared" si="7"/>
        <v>0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3</v>
      </c>
      <c r="F42" s="1">
        <f t="shared" si="5"/>
        <v>2</v>
      </c>
      <c r="G42" s="1">
        <f t="shared" si="5"/>
        <v>0</v>
      </c>
      <c r="H42" s="1">
        <f t="shared" si="5"/>
        <v>1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1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1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2</v>
      </c>
      <c r="G43" s="1">
        <f t="shared" si="5"/>
        <v>0</v>
      </c>
      <c r="H43" s="1">
        <f t="shared" si="5"/>
        <v>1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2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3</v>
      </c>
      <c r="F48" s="1">
        <f t="shared" si="5"/>
        <v>3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3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5</v>
      </c>
      <c r="Z48" s="1">
        <f t="shared" si="6"/>
        <v>0</v>
      </c>
      <c r="AA48" s="1">
        <f t="shared" si="6"/>
        <v>1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3</v>
      </c>
      <c r="G51" s="1">
        <f t="shared" si="5"/>
        <v>0</v>
      </c>
      <c r="H51" s="1">
        <f t="shared" si="5"/>
        <v>1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5</v>
      </c>
      <c r="Z51" s="1">
        <f t="shared" si="6"/>
        <v>1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3</v>
      </c>
      <c r="F53" s="1">
        <f t="shared" si="5"/>
        <v>3</v>
      </c>
      <c r="G53" s="1">
        <f t="shared" si="5"/>
        <v>0</v>
      </c>
      <c r="H53" s="1">
        <f t="shared" si="5"/>
        <v>1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1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3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2</v>
      </c>
      <c r="F56" s="1">
        <f t="shared" si="5"/>
        <v>2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3</v>
      </c>
      <c r="AA56" s="1">
        <f t="shared" si="6"/>
        <v>1</v>
      </c>
      <c r="AD56" s="1">
        <f t="shared" si="7"/>
        <v>1</v>
      </c>
      <c r="AE56" s="1">
        <f t="shared" si="7"/>
        <v>0</v>
      </c>
      <c r="AF56" s="1">
        <f t="shared" si="7"/>
        <v>1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6</v>
      </c>
      <c r="AK56" s="1">
        <f t="shared" si="7"/>
        <v>0</v>
      </c>
      <c r="AL56" s="1">
        <f t="shared" si="7"/>
        <v>99</v>
      </c>
      <c r="AM56" s="1">
        <f t="shared" si="7"/>
        <v>4</v>
      </c>
      <c r="AN56" s="1">
        <f t="shared" si="7"/>
        <v>0</v>
      </c>
      <c r="AO56" s="1">
        <f t="shared" si="7"/>
        <v>27</v>
      </c>
      <c r="AP56" s="1">
        <f t="shared" si="7"/>
        <v>3</v>
      </c>
      <c r="AQ56" s="1">
        <f t="shared" si="7"/>
        <v>4</v>
      </c>
      <c r="AR56" s="1">
        <f t="shared" si="7"/>
        <v>2</v>
      </c>
      <c r="AS56" s="1">
        <f t="shared" si="7"/>
        <v>1</v>
      </c>
      <c r="AT56" s="1">
        <f t="shared" si="8"/>
        <v>3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3</v>
      </c>
      <c r="G61" s="1">
        <f t="shared" si="10"/>
        <v>1</v>
      </c>
      <c r="H61" s="1">
        <f t="shared" si="10"/>
        <v>0</v>
      </c>
      <c r="I61" s="1">
        <f t="shared" si="10"/>
        <v>0</v>
      </c>
      <c r="J61" s="1">
        <f t="shared" si="10"/>
        <v>0</v>
      </c>
      <c r="K61" s="1">
        <f t="shared" si="10"/>
        <v>1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1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1</v>
      </c>
      <c r="H63" s="1">
        <f t="shared" si="10"/>
        <v>1</v>
      </c>
      <c r="I63" s="1">
        <f t="shared" si="10"/>
        <v>1</v>
      </c>
      <c r="J63" s="1">
        <f t="shared" si="10"/>
        <v>1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守備位置" prompt="守備位置を選択してください" sqref="B10:B29" xr:uid="{0C83387F-4C86-443E-8919-C8C1DE3CE791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8B26871C-2074-4B17-B9B4-25A73CBEE8FF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43A05133-269D-40BB-AE39-32FFB8FB2132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2D676EA2-EFC8-4ADC-B553-46C11EE39FB2}">
      <formula1>45017</formula1>
      <formula2>45747</formula2>
    </dataValidation>
    <dataValidation type="list" allowBlank="1" showInputMessage="1" showErrorMessage="1" promptTitle="勝敗" prompt="勝敗を選択してください" sqref="C4:C6" xr:uid="{E9B6AA79-CD1F-4C06-B85B-F46DB9DEFD34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目を選択してください" xr:uid="{6EC22EFD-7E3A-493A-9777-484CF26E7148}">
          <x14:formula1>
            <xm:f>データ!$A:$A</xm:f>
          </x14:formula1>
          <xm:sqref>D41:D70</xm:sqref>
        </x14:dataValidation>
        <x14:dataValidation type="list" allowBlank="1" showInputMessage="1" showErrorMessage="1" promptTitle="後攻" prompt="後攻チームを選択してください" xr:uid="{9F449F4E-6199-4805-854D-546B38C8DC76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E7E366CF-93B5-499E-98AE-1B154AB0BF7D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0C61C0FD-A20B-4607-951B-70DB7E3E5473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2F6CED63-5FDB-4F95-B361-AC0D5FD14D8C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77270773-9E64-48D9-9413-CE2552CEE1EF}">
          <x14:formula1>
            <xm:f>データ!$E:$E</xm:f>
          </x14:formula1>
          <xm:sqref>E2:O2</xm:sqref>
        </x14:dataValidation>
        <x14:dataValidation type="list" allowBlank="1" showInputMessage="1" showErrorMessage="1" promptTitle="選手名" prompt="選手名を選択してください" xr:uid="{A85626CF-19B9-461C-B9CB-8F8419C8DA01}">
          <x14:formula1>
            <xm:f>データ!$A:$A</xm:f>
          </x14:formula1>
          <xm:sqref>D10:D29 AC10:AC29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28F6-EA6B-432F-A5D4-41E890FA07DA}">
  <sheetPr codeName="Sheet11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45458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224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110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224</v>
      </c>
      <c r="E5" s="95"/>
      <c r="F5" s="95"/>
      <c r="G5" s="2">
        <v>0</v>
      </c>
      <c r="H5" s="2">
        <v>1</v>
      </c>
      <c r="I5" s="2">
        <v>0</v>
      </c>
      <c r="J5" s="2">
        <v>2</v>
      </c>
      <c r="K5" s="2">
        <v>1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4</v>
      </c>
      <c r="U5" s="10">
        <f>IF(D5="九州工業大学",G30,AT30)</f>
        <v>3</v>
      </c>
      <c r="V5" s="10">
        <f>IF(D5="九州工業大学",AA30,N30)</f>
        <v>2</v>
      </c>
      <c r="AC5" s="14" t="s">
        <v>94</v>
      </c>
    </row>
    <row r="6" spans="1:47" ht="18" thickBot="1" x14ac:dyDescent="0.75">
      <c r="C6" s="95"/>
      <c r="D6" s="95" t="s">
        <v>227</v>
      </c>
      <c r="E6" s="95"/>
      <c r="F6" s="95"/>
      <c r="G6" s="2">
        <v>3</v>
      </c>
      <c r="H6" s="2">
        <v>2</v>
      </c>
      <c r="I6" s="2">
        <v>0</v>
      </c>
      <c r="J6" s="2">
        <v>1</v>
      </c>
      <c r="K6" s="2">
        <v>0</v>
      </c>
      <c r="L6" s="2">
        <v>0</v>
      </c>
      <c r="M6" s="16" t="s">
        <v>228</v>
      </c>
      <c r="N6" s="2"/>
      <c r="O6" s="2"/>
      <c r="P6" s="2"/>
      <c r="Q6" s="2"/>
      <c r="R6" s="2"/>
      <c r="S6" s="2"/>
      <c r="T6" s="10">
        <f>SUM(G6:S6)</f>
        <v>6</v>
      </c>
      <c r="U6" s="10">
        <f>IF(D6="九州工業大学",G30,AT30)</f>
        <v>6</v>
      </c>
      <c r="V6" s="10">
        <f>IF(D6="九州工業大学",AA30,N30)</f>
        <v>3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101</v>
      </c>
      <c r="C10" s="10">
        <f>IF(D10="","",VLOOKUP(D10,データ!A:C,2,FALSE))</f>
        <v>1</v>
      </c>
      <c r="D10" s="7" t="s">
        <v>81</v>
      </c>
      <c r="E10" s="9">
        <v>4</v>
      </c>
      <c r="F10" s="10">
        <f>IF(D10="","",E10-R10-S10-W10-X10)</f>
        <v>3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/>
      <c r="O10" s="9"/>
      <c r="P10" s="9">
        <v>1</v>
      </c>
      <c r="Q10" s="9"/>
      <c r="R10" s="9">
        <v>1</v>
      </c>
      <c r="S10" s="9"/>
      <c r="T10" s="9"/>
      <c r="U10" s="9"/>
      <c r="V10" s="9"/>
      <c r="W10" s="9"/>
      <c r="X10" s="9"/>
      <c r="Y10" s="9">
        <v>2</v>
      </c>
      <c r="Z10" s="9">
        <v>3</v>
      </c>
      <c r="AA10" s="9"/>
      <c r="AB10" s="10">
        <f>IF(AC10="","",VLOOKUP(AC10,データ!A:C,2,FALSE))</f>
        <v>1</v>
      </c>
      <c r="AC10" s="7" t="s">
        <v>81</v>
      </c>
      <c r="AD10" s="10">
        <f>IF(AC10="","",IF(AJ10="",0,1))</f>
        <v>1</v>
      </c>
      <c r="AE10" s="9">
        <v>1</v>
      </c>
      <c r="AF10" s="9"/>
      <c r="AG10" s="9"/>
      <c r="AH10" s="9">
        <v>1</v>
      </c>
      <c r="AI10" s="9"/>
      <c r="AJ10" s="9">
        <v>7</v>
      </c>
      <c r="AK10" s="9"/>
      <c r="AL10" s="9">
        <v>94</v>
      </c>
      <c r="AM10" s="9">
        <v>4</v>
      </c>
      <c r="AN10" s="9">
        <v>3</v>
      </c>
      <c r="AO10" s="9">
        <v>31</v>
      </c>
      <c r="AP10" s="9">
        <v>2</v>
      </c>
      <c r="AQ10" s="9">
        <v>5</v>
      </c>
      <c r="AR10" s="9"/>
      <c r="AS10" s="9"/>
      <c r="AT10" s="9">
        <v>3</v>
      </c>
      <c r="AU10" s="9">
        <v>1</v>
      </c>
    </row>
    <row r="11" spans="1:47" x14ac:dyDescent="0.7">
      <c r="A11" s="2">
        <v>2</v>
      </c>
      <c r="B11" s="8" t="s">
        <v>109</v>
      </c>
      <c r="C11" s="10">
        <f>IF(D11="","",VLOOKUP(D11,データ!A:C,2,FALSE))</f>
        <v>23</v>
      </c>
      <c r="D11" s="7" t="s">
        <v>183</v>
      </c>
      <c r="E11" s="9">
        <v>4</v>
      </c>
      <c r="F11" s="10">
        <f t="shared" ref="F11:F29" si="0">IF(D11="","",E11-R11-S11-W11-X11)</f>
        <v>2</v>
      </c>
      <c r="G11" s="10">
        <f t="shared" ref="G11:G29" si="1">IF(D11="","",SUM(J11:M11))</f>
        <v>1</v>
      </c>
      <c r="H11" s="9"/>
      <c r="I11" s="9"/>
      <c r="J11" s="9"/>
      <c r="K11" s="9">
        <v>1</v>
      </c>
      <c r="L11" s="9"/>
      <c r="M11" s="9"/>
      <c r="N11" s="9"/>
      <c r="O11" s="9"/>
      <c r="P11" s="9">
        <v>3</v>
      </c>
      <c r="Q11" s="9">
        <v>1</v>
      </c>
      <c r="R11" s="9">
        <v>1</v>
      </c>
      <c r="S11" s="9">
        <v>1</v>
      </c>
      <c r="T11" s="9"/>
      <c r="U11" s="9"/>
      <c r="V11" s="9"/>
      <c r="W11" s="9"/>
      <c r="X11" s="9"/>
      <c r="Y11" s="9">
        <v>1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99</v>
      </c>
      <c r="C12" s="10">
        <f>IF(D12="","",VLOOKUP(D12,データ!A:C,2,FALSE))</f>
        <v>33</v>
      </c>
      <c r="D12" s="7" t="s">
        <v>65</v>
      </c>
      <c r="E12" s="9">
        <v>4</v>
      </c>
      <c r="F12" s="10">
        <f t="shared" si="0"/>
        <v>4</v>
      </c>
      <c r="G12" s="10">
        <f t="shared" si="1"/>
        <v>3</v>
      </c>
      <c r="H12" s="9">
        <v>3</v>
      </c>
      <c r="I12" s="9">
        <v>3</v>
      </c>
      <c r="J12" s="9">
        <v>2</v>
      </c>
      <c r="K12" s="9">
        <v>1</v>
      </c>
      <c r="L12" s="9"/>
      <c r="M12" s="9"/>
      <c r="N12" s="9"/>
      <c r="O12" s="9">
        <v>3</v>
      </c>
      <c r="P12" s="9">
        <v>2</v>
      </c>
      <c r="Q12" s="9">
        <v>1</v>
      </c>
      <c r="R12" s="9"/>
      <c r="S12" s="9"/>
      <c r="T12" s="9"/>
      <c r="U12" s="9">
        <v>1</v>
      </c>
      <c r="V12" s="9"/>
      <c r="W12" s="9"/>
      <c r="X12" s="9"/>
      <c r="Y12" s="9">
        <v>2</v>
      </c>
      <c r="Z12" s="9">
        <v>2</v>
      </c>
      <c r="AA12" s="9">
        <v>1</v>
      </c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104</v>
      </c>
      <c r="C13" s="10">
        <f>IF(D13="","",VLOOKUP(D13,データ!A:C,2,FALSE))</f>
        <v>53</v>
      </c>
      <c r="D13" s="7" t="s">
        <v>53</v>
      </c>
      <c r="E13" s="9">
        <v>4</v>
      </c>
      <c r="F13" s="10">
        <f t="shared" si="0"/>
        <v>3</v>
      </c>
      <c r="G13" s="10">
        <f t="shared" si="1"/>
        <v>1</v>
      </c>
      <c r="H13" s="9">
        <v>2</v>
      </c>
      <c r="I13" s="9"/>
      <c r="J13" s="9">
        <v>1</v>
      </c>
      <c r="K13" s="9"/>
      <c r="L13" s="9"/>
      <c r="M13" s="9"/>
      <c r="N13" s="9">
        <v>1</v>
      </c>
      <c r="O13" s="9"/>
      <c r="P13" s="9"/>
      <c r="Q13" s="9"/>
      <c r="R13" s="9">
        <v>1</v>
      </c>
      <c r="S13" s="9"/>
      <c r="T13" s="9"/>
      <c r="U13" s="9"/>
      <c r="V13" s="9"/>
      <c r="W13" s="9"/>
      <c r="X13" s="9"/>
      <c r="Y13" s="9">
        <v>1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103</v>
      </c>
      <c r="C14" s="10">
        <f>IF(D14="","",VLOOKUP(D14,データ!A:C,2,FALSE))</f>
        <v>3</v>
      </c>
      <c r="D14" s="7" t="s">
        <v>73</v>
      </c>
      <c r="E14" s="9">
        <v>4</v>
      </c>
      <c r="F14" s="10">
        <f t="shared" si="0"/>
        <v>3</v>
      </c>
      <c r="G14" s="10">
        <f t="shared" si="1"/>
        <v>1</v>
      </c>
      <c r="H14" s="9">
        <v>2</v>
      </c>
      <c r="I14" s="9"/>
      <c r="J14" s="9">
        <v>1</v>
      </c>
      <c r="K14" s="9"/>
      <c r="L14" s="9"/>
      <c r="M14" s="9"/>
      <c r="N14" s="9">
        <v>1</v>
      </c>
      <c r="O14" s="9">
        <v>1</v>
      </c>
      <c r="P14" s="9"/>
      <c r="Q14" s="9"/>
      <c r="R14" s="9">
        <v>1</v>
      </c>
      <c r="S14" s="9"/>
      <c r="T14" s="9"/>
      <c r="U14" s="9"/>
      <c r="V14" s="9"/>
      <c r="W14" s="9"/>
      <c r="X14" s="9"/>
      <c r="Y14" s="9">
        <v>9</v>
      </c>
      <c r="Z14" s="9">
        <v>1</v>
      </c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107</v>
      </c>
      <c r="C15" s="10">
        <f>IF(D15="","",VLOOKUP(D15,データ!A:C,2,FALSE))</f>
        <v>51</v>
      </c>
      <c r="D15" s="7" t="s">
        <v>61</v>
      </c>
      <c r="E15" s="9">
        <v>3</v>
      </c>
      <c r="F15" s="10">
        <f t="shared" si="0"/>
        <v>2</v>
      </c>
      <c r="G15" s="10">
        <f t="shared" si="1"/>
        <v>0</v>
      </c>
      <c r="H15" s="9">
        <v>2</v>
      </c>
      <c r="I15" s="9"/>
      <c r="J15" s="9"/>
      <c r="K15" s="9"/>
      <c r="L15" s="9"/>
      <c r="M15" s="9"/>
      <c r="N15" s="9"/>
      <c r="O15" s="9"/>
      <c r="P15" s="9"/>
      <c r="Q15" s="9">
        <v>2</v>
      </c>
      <c r="R15" s="9">
        <v>1</v>
      </c>
      <c r="S15" s="9"/>
      <c r="T15" s="9"/>
      <c r="U15" s="9"/>
      <c r="V15" s="9"/>
      <c r="W15" s="9"/>
      <c r="X15" s="9"/>
      <c r="Y15" s="9"/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108</v>
      </c>
      <c r="C16" s="10">
        <f>IF(D16="","",VLOOKUP(D16,データ!A:C,2,FALSE))</f>
        <v>5</v>
      </c>
      <c r="D16" s="7" t="s">
        <v>57</v>
      </c>
      <c r="E16" s="9">
        <v>4</v>
      </c>
      <c r="F16" s="10">
        <f t="shared" si="0"/>
        <v>2</v>
      </c>
      <c r="G16" s="10">
        <f t="shared" si="1"/>
        <v>0</v>
      </c>
      <c r="H16" s="9">
        <v>2</v>
      </c>
      <c r="I16" s="9"/>
      <c r="J16" s="9"/>
      <c r="K16" s="9"/>
      <c r="L16" s="9"/>
      <c r="M16" s="9"/>
      <c r="N16" s="9"/>
      <c r="O16" s="9"/>
      <c r="P16" s="9"/>
      <c r="Q16" s="9">
        <v>1</v>
      </c>
      <c r="R16" s="9">
        <v>1</v>
      </c>
      <c r="S16" s="9">
        <v>1</v>
      </c>
      <c r="T16" s="9"/>
      <c r="U16" s="9"/>
      <c r="V16" s="9"/>
      <c r="W16" s="9"/>
      <c r="X16" s="9"/>
      <c r="Y16" s="9">
        <v>1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105</v>
      </c>
      <c r="C17" s="10">
        <f>IF(D17="","",VLOOKUP(D17,データ!A:C,2,FALSE))</f>
        <v>46</v>
      </c>
      <c r="D17" s="7" t="s">
        <v>181</v>
      </c>
      <c r="E17" s="9">
        <v>4</v>
      </c>
      <c r="F17" s="10">
        <f t="shared" si="0"/>
        <v>3</v>
      </c>
      <c r="G17" s="10">
        <f t="shared" si="1"/>
        <v>0</v>
      </c>
      <c r="H17" s="9">
        <v>2</v>
      </c>
      <c r="I17" s="9"/>
      <c r="J17" s="9"/>
      <c r="K17" s="9"/>
      <c r="L17" s="9"/>
      <c r="M17" s="9"/>
      <c r="N17" s="9"/>
      <c r="O17" s="9">
        <v>1</v>
      </c>
      <c r="P17" s="9"/>
      <c r="Q17" s="9">
        <v>1</v>
      </c>
      <c r="R17" s="9">
        <v>1</v>
      </c>
      <c r="S17" s="9"/>
      <c r="T17" s="9"/>
      <c r="U17" s="9"/>
      <c r="V17" s="9"/>
      <c r="W17" s="9"/>
      <c r="X17" s="9"/>
      <c r="Y17" s="9">
        <v>3</v>
      </c>
      <c r="Z17" s="9">
        <v>1</v>
      </c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106</v>
      </c>
      <c r="C18" s="10">
        <f>IF(D18="","",VLOOKUP(D18,データ!A:C,2,FALSE))</f>
        <v>9</v>
      </c>
      <c r="D18" s="7" t="s">
        <v>56</v>
      </c>
      <c r="E18" s="9">
        <v>2</v>
      </c>
      <c r="F18" s="10">
        <f t="shared" si="0"/>
        <v>2</v>
      </c>
      <c r="G18" s="10">
        <f t="shared" si="1"/>
        <v>0</v>
      </c>
      <c r="H18" s="9">
        <v>1</v>
      </c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>
        <v>1</v>
      </c>
      <c r="Z18" s="9">
        <v>2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100</v>
      </c>
      <c r="C19" s="10">
        <f>IF(D19="","",VLOOKUP(D19,データ!A:C,2,FALSE))</f>
        <v>7</v>
      </c>
      <c r="D19" s="7" t="s">
        <v>216</v>
      </c>
      <c r="E19" s="9">
        <v>1</v>
      </c>
      <c r="F19" s="10">
        <f t="shared" si="0"/>
        <v>1</v>
      </c>
      <c r="G19" s="10">
        <f t="shared" si="1"/>
        <v>0</v>
      </c>
      <c r="H19" s="9">
        <v>1</v>
      </c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>
        <v>1</v>
      </c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106</v>
      </c>
      <c r="C20" s="10">
        <f>IF(D20="","",VLOOKUP(D20,データ!A:C,2,FALSE))</f>
        <v>99</v>
      </c>
      <c r="D20" s="7" t="s">
        <v>59</v>
      </c>
      <c r="E20" s="9">
        <v>3</v>
      </c>
      <c r="F20" s="10">
        <f t="shared" si="0"/>
        <v>3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37</v>
      </c>
      <c r="F30" s="1">
        <f t="shared" si="3"/>
        <v>28</v>
      </c>
      <c r="G30" s="1">
        <f t="shared" si="3"/>
        <v>6</v>
      </c>
      <c r="H30" s="1">
        <f t="shared" si="3"/>
        <v>15</v>
      </c>
      <c r="I30" s="1">
        <f t="shared" si="3"/>
        <v>3</v>
      </c>
      <c r="J30" s="1">
        <f t="shared" si="3"/>
        <v>4</v>
      </c>
      <c r="K30" s="1">
        <f t="shared" si="3"/>
        <v>2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5</v>
      </c>
      <c r="P30" s="1">
        <f t="shared" si="3"/>
        <v>6</v>
      </c>
      <c r="Q30" s="1">
        <f t="shared" si="3"/>
        <v>8</v>
      </c>
      <c r="R30" s="1">
        <f t="shared" si="3"/>
        <v>7</v>
      </c>
      <c r="S30" s="1">
        <f t="shared" si="3"/>
        <v>2</v>
      </c>
      <c r="T30" s="1">
        <f t="shared" si="3"/>
        <v>0</v>
      </c>
      <c r="U30" s="1">
        <f t="shared" si="3"/>
        <v>1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9</v>
      </c>
      <c r="AA30" s="1">
        <f t="shared" si="3"/>
        <v>3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94</v>
      </c>
      <c r="AM30" s="1">
        <f t="shared" si="4"/>
        <v>4</v>
      </c>
      <c r="AN30" s="1">
        <f t="shared" si="4"/>
        <v>3</v>
      </c>
      <c r="AO30" s="1">
        <f t="shared" si="4"/>
        <v>31</v>
      </c>
      <c r="AP30" s="1">
        <f t="shared" si="4"/>
        <v>2</v>
      </c>
      <c r="AQ30" s="1">
        <f t="shared" si="4"/>
        <v>5</v>
      </c>
      <c r="AR30" s="1">
        <f>SUM(AR10:AR29)</f>
        <v>0</v>
      </c>
      <c r="AS30" s="1">
        <f>SUM(AS10:AS29)</f>
        <v>0</v>
      </c>
      <c r="AT30" s="1">
        <f>SUM(AT10:AT29)</f>
        <v>3</v>
      </c>
      <c r="AU30" s="1">
        <f t="shared" si="4"/>
        <v>1</v>
      </c>
    </row>
    <row r="31" spans="1:47" ht="14.25" x14ac:dyDescent="0.7">
      <c r="D31" s="1">
        <f>G30/F30</f>
        <v>0.21428571428571427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4</v>
      </c>
      <c r="F41" s="1">
        <f t="shared" si="5"/>
        <v>3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1</v>
      </c>
      <c r="Q41" s="1">
        <f t="shared" si="5"/>
        <v>0</v>
      </c>
      <c r="R41" s="1">
        <f t="shared" si="5"/>
        <v>1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2</v>
      </c>
      <c r="Z41" s="1">
        <f t="shared" si="6"/>
        <v>3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1</v>
      </c>
      <c r="AF41" s="1">
        <f t="shared" si="7"/>
        <v>0</v>
      </c>
      <c r="AG41" s="1">
        <f t="shared" si="7"/>
        <v>0</v>
      </c>
      <c r="AH41" s="1">
        <f t="shared" si="7"/>
        <v>1</v>
      </c>
      <c r="AI41" s="1">
        <f t="shared" si="7"/>
        <v>0</v>
      </c>
      <c r="AJ41" s="1">
        <f t="shared" si="7"/>
        <v>7</v>
      </c>
      <c r="AK41" s="1">
        <f t="shared" si="7"/>
        <v>0</v>
      </c>
      <c r="AL41" s="1">
        <f t="shared" si="7"/>
        <v>94</v>
      </c>
      <c r="AM41" s="1">
        <f t="shared" si="7"/>
        <v>4</v>
      </c>
      <c r="AN41" s="1">
        <f t="shared" si="7"/>
        <v>3</v>
      </c>
      <c r="AO41" s="1">
        <f t="shared" si="7"/>
        <v>31</v>
      </c>
      <c r="AP41" s="1">
        <f t="shared" si="7"/>
        <v>2</v>
      </c>
      <c r="AQ41" s="1">
        <f t="shared" si="7"/>
        <v>5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3</v>
      </c>
      <c r="AU41" s="1">
        <f t="shared" si="8"/>
        <v>1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4</v>
      </c>
      <c r="F42" s="1">
        <f t="shared" si="5"/>
        <v>3</v>
      </c>
      <c r="G42" s="1">
        <f t="shared" si="5"/>
        <v>1</v>
      </c>
      <c r="H42" s="1">
        <f t="shared" si="5"/>
        <v>2</v>
      </c>
      <c r="I42" s="1">
        <f t="shared" si="5"/>
        <v>0</v>
      </c>
      <c r="J42" s="1">
        <f t="shared" si="5"/>
        <v>1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1</v>
      </c>
      <c r="O42" s="1">
        <f t="shared" si="5"/>
        <v>1</v>
      </c>
      <c r="P42" s="1">
        <f t="shared" si="5"/>
        <v>0</v>
      </c>
      <c r="Q42" s="1">
        <f t="shared" si="5"/>
        <v>0</v>
      </c>
      <c r="R42" s="1">
        <f t="shared" si="5"/>
        <v>1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9</v>
      </c>
      <c r="Z42" s="1">
        <f t="shared" si="6"/>
        <v>1</v>
      </c>
      <c r="AA42" s="1">
        <f t="shared" si="6"/>
        <v>1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4</v>
      </c>
      <c r="F43" s="1">
        <f t="shared" si="5"/>
        <v>2</v>
      </c>
      <c r="G43" s="1">
        <f t="shared" si="5"/>
        <v>0</v>
      </c>
      <c r="H43" s="1">
        <f t="shared" si="5"/>
        <v>2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1</v>
      </c>
      <c r="R43" s="1">
        <f t="shared" si="5"/>
        <v>1</v>
      </c>
      <c r="S43" s="1">
        <f t="shared" si="5"/>
        <v>1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1</v>
      </c>
      <c r="F44" s="1">
        <f t="shared" si="5"/>
        <v>1</v>
      </c>
      <c r="G44" s="1">
        <f t="shared" si="5"/>
        <v>0</v>
      </c>
      <c r="H44" s="1">
        <f t="shared" si="5"/>
        <v>1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1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1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2</v>
      </c>
      <c r="F45" s="1">
        <f t="shared" si="5"/>
        <v>2</v>
      </c>
      <c r="G45" s="1">
        <f t="shared" si="5"/>
        <v>0</v>
      </c>
      <c r="H45" s="1">
        <f t="shared" si="5"/>
        <v>1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1</v>
      </c>
      <c r="Z45" s="1">
        <f t="shared" si="6"/>
        <v>2</v>
      </c>
      <c r="AA45" s="1">
        <f t="shared" si="6"/>
        <v>1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2</v>
      </c>
      <c r="G53" s="1">
        <f t="shared" si="5"/>
        <v>1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1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3</v>
      </c>
      <c r="Q53" s="1">
        <f t="shared" si="5"/>
        <v>1</v>
      </c>
      <c r="R53" s="1">
        <f t="shared" si="5"/>
        <v>1</v>
      </c>
      <c r="S53" s="1">
        <f t="shared" si="5"/>
        <v>1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1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4</v>
      </c>
      <c r="G56" s="1">
        <f t="shared" si="5"/>
        <v>3</v>
      </c>
      <c r="H56" s="1">
        <f t="shared" si="5"/>
        <v>3</v>
      </c>
      <c r="I56" s="1">
        <f t="shared" si="5"/>
        <v>3</v>
      </c>
      <c r="J56" s="1">
        <f t="shared" si="5"/>
        <v>2</v>
      </c>
      <c r="K56" s="1">
        <f t="shared" si="5"/>
        <v>1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3</v>
      </c>
      <c r="P56" s="1">
        <f t="shared" si="5"/>
        <v>2</v>
      </c>
      <c r="Q56" s="1">
        <f t="shared" si="5"/>
        <v>1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1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2</v>
      </c>
      <c r="Z56" s="1">
        <f t="shared" si="6"/>
        <v>2</v>
      </c>
      <c r="AA56" s="1">
        <f t="shared" si="6"/>
        <v>1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4</v>
      </c>
      <c r="F57" s="1">
        <f t="shared" si="10"/>
        <v>3</v>
      </c>
      <c r="G57" s="1">
        <f t="shared" si="10"/>
        <v>0</v>
      </c>
      <c r="H57" s="1">
        <f t="shared" si="10"/>
        <v>2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1</v>
      </c>
      <c r="P57" s="1">
        <f t="shared" si="10"/>
        <v>0</v>
      </c>
      <c r="Q57" s="1">
        <f t="shared" si="10"/>
        <v>1</v>
      </c>
      <c r="R57" s="1">
        <f t="shared" si="10"/>
        <v>1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3</v>
      </c>
      <c r="Z57" s="1">
        <f t="shared" si="11"/>
        <v>1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3</v>
      </c>
      <c r="F60" s="1">
        <f t="shared" si="10"/>
        <v>2</v>
      </c>
      <c r="G60" s="1">
        <f t="shared" si="10"/>
        <v>0</v>
      </c>
      <c r="H60" s="1">
        <f t="shared" si="10"/>
        <v>2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2</v>
      </c>
      <c r="R60" s="1">
        <f t="shared" si="10"/>
        <v>1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4</v>
      </c>
      <c r="F61" s="1">
        <f t="shared" si="10"/>
        <v>3</v>
      </c>
      <c r="G61" s="1">
        <f t="shared" si="10"/>
        <v>1</v>
      </c>
      <c r="H61" s="1">
        <f t="shared" si="10"/>
        <v>2</v>
      </c>
      <c r="I61" s="1">
        <f t="shared" si="10"/>
        <v>0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1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0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勝敗" prompt="勝敗を選択してください" sqref="C4:C6" xr:uid="{82BBB24B-71E3-47D8-A554-B1FC166D3AEB}">
      <formula1>"○,●,△"</formula1>
    </dataValidation>
    <dataValidation type="date" allowBlank="1" showInputMessage="1" showErrorMessage="1" promptTitle="日付入力" prompt="日付を入力してください" sqref="A2:D2" xr:uid="{6BABB306-F28E-4611-B1EA-A841D3C67AD5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F944786D-CCBE-4098-AAA2-C96FDF8D383D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1D024E33-9984-458F-83CE-01C543D39BB9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DAAD47BB-602F-49FC-8CC1-4AB017CCD5D2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30FBEEE8-5AD6-4A2E-80FD-9D8C5FEBB5B8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EADD2F6B-DCC2-4230-AE86-FDA1C3859B39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5342EEB7-ECF6-46C0-8B8F-2185C40AE423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AB7E92D1-02CD-4FD0-AD99-AB1F5521DA9C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4452CE0B-F7B3-43C9-9A55-E2EB67A5CE68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FCF593F5-EDAC-4745-B960-9C13E035DF7F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E74DFE14-A87C-4B1E-AAEE-4678D73CCCE3}">
          <x14:formula1>
            <xm:f>データ!$A:$A</xm:f>
          </x14:formula1>
          <xm:sqref>D41:D70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3D1E8-C59F-469F-A40F-B0FCD6233043}">
  <sheetPr codeName="Sheet12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45437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215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0.625</v>
      </c>
      <c r="AD2" s="17" t="s">
        <v>46</v>
      </c>
      <c r="AE2" s="92">
        <v>0.70833333333333337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187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0</v>
      </c>
      <c r="I5" s="2">
        <v>1</v>
      </c>
      <c r="J5" s="2">
        <v>0</v>
      </c>
      <c r="K5" s="2">
        <v>2</v>
      </c>
      <c r="L5" s="2">
        <v>1</v>
      </c>
      <c r="M5" s="2">
        <v>0</v>
      </c>
      <c r="N5" s="2"/>
      <c r="O5" s="2"/>
      <c r="P5" s="2"/>
      <c r="Q5" s="2"/>
      <c r="R5" s="2"/>
      <c r="S5" s="2"/>
      <c r="T5" s="10">
        <f>SUM(G5:S5)</f>
        <v>4</v>
      </c>
      <c r="U5" s="10">
        <f>IF(D5="九州工業大学",G30,AT30)</f>
        <v>10</v>
      </c>
      <c r="V5" s="10">
        <f>IF(D5="九州工業大学",AA30,N30)</f>
        <v>3</v>
      </c>
      <c r="AC5" s="14" t="s">
        <v>94</v>
      </c>
    </row>
    <row r="6" spans="1:47" ht="18" thickBot="1" x14ac:dyDescent="0.75">
      <c r="C6" s="95"/>
      <c r="D6" s="95" t="s">
        <v>215</v>
      </c>
      <c r="E6" s="95"/>
      <c r="F6" s="95"/>
      <c r="G6" s="2">
        <v>3</v>
      </c>
      <c r="H6" s="2">
        <v>1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/>
      <c r="O6" s="2"/>
      <c r="P6" s="2"/>
      <c r="Q6" s="2"/>
      <c r="R6" s="2"/>
      <c r="S6" s="2"/>
      <c r="T6" s="10">
        <f>SUM(G6:S6)</f>
        <v>4</v>
      </c>
      <c r="U6" s="10">
        <f>IF(D6="九州工業大学",G30,AT30)</f>
        <v>6</v>
      </c>
      <c r="V6" s="10">
        <f>IF(D6="九州工業大学",AA30,N30)</f>
        <v>2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1</v>
      </c>
      <c r="D10" s="7" t="s">
        <v>81</v>
      </c>
      <c r="E10" s="9">
        <v>5</v>
      </c>
      <c r="F10" s="10">
        <f>IF(D10="","",E10-R10-S10-W10-X10)</f>
        <v>5</v>
      </c>
      <c r="G10" s="10">
        <f>IF(D10="","",SUM(J10:M10))</f>
        <v>0</v>
      </c>
      <c r="H10" s="9">
        <v>2</v>
      </c>
      <c r="I10" s="9"/>
      <c r="J10" s="9"/>
      <c r="K10" s="9"/>
      <c r="L10" s="9"/>
      <c r="M10" s="9"/>
      <c r="N10" s="9"/>
      <c r="O10" s="9"/>
      <c r="P10" s="9"/>
      <c r="Q10" s="9">
        <v>1</v>
      </c>
      <c r="R10" s="9"/>
      <c r="S10" s="9"/>
      <c r="T10" s="9"/>
      <c r="U10" s="9"/>
      <c r="V10" s="9"/>
      <c r="W10" s="9"/>
      <c r="X10" s="9"/>
      <c r="Y10" s="9">
        <v>2</v>
      </c>
      <c r="Z10" s="9">
        <v>2</v>
      </c>
      <c r="AA10" s="9"/>
      <c r="AB10" s="10">
        <f>IF(AC10="","",VLOOKUP(AC10,データ!A:C,2,FALSE))</f>
        <v>33</v>
      </c>
      <c r="AC10" s="7" t="s">
        <v>65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0</v>
      </c>
      <c r="AK10" s="9">
        <f>0/3</f>
        <v>0</v>
      </c>
      <c r="AL10" s="9">
        <v>11</v>
      </c>
      <c r="AM10" s="9">
        <v>2</v>
      </c>
      <c r="AN10" s="9">
        <v>2</v>
      </c>
      <c r="AO10" s="9">
        <v>4</v>
      </c>
      <c r="AP10" s="9"/>
      <c r="AQ10" s="9"/>
      <c r="AR10" s="9">
        <v>3</v>
      </c>
      <c r="AS10" s="9"/>
      <c r="AT10" s="9">
        <v>1</v>
      </c>
      <c r="AU10" s="9">
        <v>1</v>
      </c>
    </row>
    <row r="11" spans="1:47" x14ac:dyDescent="0.7">
      <c r="A11" s="2">
        <v>2</v>
      </c>
      <c r="B11" s="8" t="s">
        <v>109</v>
      </c>
      <c r="C11" s="10">
        <f>IF(D11="","",VLOOKUP(D11,データ!A:C,2,FALSE))</f>
        <v>23</v>
      </c>
      <c r="D11" s="7" t="s">
        <v>183</v>
      </c>
      <c r="E11" s="9">
        <v>5</v>
      </c>
      <c r="F11" s="10">
        <f t="shared" ref="F11:F29" si="0">IF(D11="","",E11-R11-S11-W11-X11)</f>
        <v>3</v>
      </c>
      <c r="G11" s="10">
        <f t="shared" ref="G11:G29" si="1">IF(D11="","",SUM(J11:M11))</f>
        <v>0</v>
      </c>
      <c r="H11" s="9">
        <v>1</v>
      </c>
      <c r="I11" s="9"/>
      <c r="J11" s="9"/>
      <c r="K11" s="9"/>
      <c r="L11" s="9"/>
      <c r="M11" s="9"/>
      <c r="N11" s="9"/>
      <c r="O11" s="9"/>
      <c r="P11" s="9">
        <v>1</v>
      </c>
      <c r="Q11" s="9">
        <v>1</v>
      </c>
      <c r="R11" s="9"/>
      <c r="S11" s="9">
        <v>2</v>
      </c>
      <c r="T11" s="9"/>
      <c r="U11" s="9"/>
      <c r="V11" s="9"/>
      <c r="W11" s="9"/>
      <c r="X11" s="9"/>
      <c r="Y11" s="9"/>
      <c r="Z11" s="9"/>
      <c r="AA11" s="9"/>
      <c r="AB11" s="10">
        <f>IF(AC11="","",VLOOKUP(AC11,データ!A:C,2,FALSE))</f>
        <v>21</v>
      </c>
      <c r="AC11" s="7" t="s">
        <v>79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3</v>
      </c>
      <c r="AK11" s="9">
        <f>3/3</f>
        <v>1</v>
      </c>
      <c r="AL11" s="9">
        <v>81</v>
      </c>
      <c r="AM11" s="9">
        <v>2</v>
      </c>
      <c r="AN11" s="9"/>
      <c r="AO11" s="9">
        <v>20</v>
      </c>
      <c r="AP11" s="9">
        <v>4</v>
      </c>
      <c r="AQ11" s="9">
        <v>3</v>
      </c>
      <c r="AR11" s="9"/>
      <c r="AS11" s="9"/>
      <c r="AT11" s="9">
        <v>3</v>
      </c>
      <c r="AU11" s="9"/>
    </row>
    <row r="12" spans="1:47" x14ac:dyDescent="0.7">
      <c r="A12" s="2">
        <v>3</v>
      </c>
      <c r="B12" s="8" t="s">
        <v>108</v>
      </c>
      <c r="C12" s="10">
        <f>IF(D12="","",VLOOKUP(D12,データ!A:C,2,FALSE))</f>
        <v>21</v>
      </c>
      <c r="D12" s="7" t="s">
        <v>79</v>
      </c>
      <c r="E12" s="9">
        <v>3</v>
      </c>
      <c r="F12" s="10">
        <f t="shared" si="0"/>
        <v>3</v>
      </c>
      <c r="G12" s="10">
        <f t="shared" si="1"/>
        <v>1</v>
      </c>
      <c r="H12" s="9">
        <v>1</v>
      </c>
      <c r="I12" s="9"/>
      <c r="J12" s="9">
        <v>1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1</v>
      </c>
      <c r="Z12" s="9">
        <v>1</v>
      </c>
      <c r="AA12" s="9">
        <v>1</v>
      </c>
      <c r="AB12" s="10">
        <f>IF(AC12="","",VLOOKUP(AC12,データ!A:C,2,FALSE))</f>
        <v>1</v>
      </c>
      <c r="AC12" s="7" t="s">
        <v>81</v>
      </c>
      <c r="AD12" s="10">
        <f t="shared" si="2"/>
        <v>1</v>
      </c>
      <c r="AE12" s="9"/>
      <c r="AF12" s="9"/>
      <c r="AG12" s="9"/>
      <c r="AH12" s="9"/>
      <c r="AI12" s="9"/>
      <c r="AJ12" s="9">
        <v>3</v>
      </c>
      <c r="AK12" s="9"/>
      <c r="AL12" s="9">
        <v>25</v>
      </c>
      <c r="AM12" s="9"/>
      <c r="AN12" s="9"/>
      <c r="AO12" s="9">
        <v>11</v>
      </c>
      <c r="AP12" s="9"/>
      <c r="AQ12" s="9">
        <v>1</v>
      </c>
      <c r="AR12" s="9"/>
      <c r="AS12" s="9">
        <v>1</v>
      </c>
      <c r="AT12" s="9">
        <v>2</v>
      </c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12</v>
      </c>
      <c r="D13" s="7" t="s">
        <v>75</v>
      </c>
      <c r="E13" s="9">
        <v>4</v>
      </c>
      <c r="F13" s="10">
        <f t="shared" si="0"/>
        <v>2</v>
      </c>
      <c r="G13" s="10">
        <f t="shared" si="1"/>
        <v>1</v>
      </c>
      <c r="H13" s="9"/>
      <c r="I13" s="9"/>
      <c r="J13" s="9">
        <v>1</v>
      </c>
      <c r="K13" s="9"/>
      <c r="L13" s="9"/>
      <c r="M13" s="9"/>
      <c r="N13" s="9"/>
      <c r="O13" s="9"/>
      <c r="P13" s="9"/>
      <c r="Q13" s="9">
        <v>1</v>
      </c>
      <c r="R13" s="9">
        <v>2</v>
      </c>
      <c r="S13" s="9"/>
      <c r="T13" s="9"/>
      <c r="U13" s="9"/>
      <c r="V13" s="9"/>
      <c r="W13" s="9"/>
      <c r="X13" s="9"/>
      <c r="Y13" s="9">
        <v>5</v>
      </c>
      <c r="Z13" s="9"/>
      <c r="AA13" s="9">
        <v>1</v>
      </c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104</v>
      </c>
      <c r="C14" s="10">
        <f>IF(D14="","",VLOOKUP(D14,データ!A:C,2,FALSE))</f>
        <v>53</v>
      </c>
      <c r="D14" s="7" t="s">
        <v>53</v>
      </c>
      <c r="E14" s="9">
        <v>4</v>
      </c>
      <c r="F14" s="10">
        <f t="shared" si="0"/>
        <v>4</v>
      </c>
      <c r="G14" s="10">
        <f t="shared" si="1"/>
        <v>3</v>
      </c>
      <c r="H14" s="9">
        <v>3</v>
      </c>
      <c r="I14" s="9">
        <v>2</v>
      </c>
      <c r="J14" s="9">
        <v>3</v>
      </c>
      <c r="K14" s="9"/>
      <c r="L14" s="9"/>
      <c r="M14" s="9"/>
      <c r="N14" s="9"/>
      <c r="O14" s="9">
        <v>1</v>
      </c>
      <c r="P14" s="9">
        <v>1</v>
      </c>
      <c r="Q14" s="9"/>
      <c r="R14" s="9"/>
      <c r="S14" s="9"/>
      <c r="T14" s="9"/>
      <c r="U14" s="9"/>
      <c r="V14" s="9"/>
      <c r="W14" s="9"/>
      <c r="X14" s="9"/>
      <c r="Y14" s="9">
        <v>1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103</v>
      </c>
      <c r="C15" s="10">
        <f>IF(D15="","",VLOOKUP(D15,データ!A:C,2,FALSE))</f>
        <v>3</v>
      </c>
      <c r="D15" s="7" t="s">
        <v>73</v>
      </c>
      <c r="E15" s="9">
        <v>4</v>
      </c>
      <c r="F15" s="10">
        <f t="shared" si="0"/>
        <v>2</v>
      </c>
      <c r="G15" s="10">
        <f t="shared" si="1"/>
        <v>1</v>
      </c>
      <c r="H15" s="9">
        <v>1</v>
      </c>
      <c r="I15" s="9"/>
      <c r="J15" s="9"/>
      <c r="K15" s="9">
        <v>1</v>
      </c>
      <c r="L15" s="9"/>
      <c r="M15" s="9"/>
      <c r="N15" s="9"/>
      <c r="O15" s="9">
        <v>1</v>
      </c>
      <c r="P15" s="9">
        <v>1</v>
      </c>
      <c r="Q15" s="9">
        <v>1</v>
      </c>
      <c r="R15" s="9">
        <v>1</v>
      </c>
      <c r="S15" s="9">
        <v>1</v>
      </c>
      <c r="T15" s="9"/>
      <c r="U15" s="9"/>
      <c r="V15" s="9"/>
      <c r="W15" s="9"/>
      <c r="X15" s="9"/>
      <c r="Y15" s="9">
        <v>7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101</v>
      </c>
      <c r="C16" s="10">
        <f>IF(D16="","",VLOOKUP(D16,データ!A:C,2,FALSE))</f>
        <v>33</v>
      </c>
      <c r="D16" s="7" t="s">
        <v>65</v>
      </c>
      <c r="E16" s="9">
        <v>4</v>
      </c>
      <c r="F16" s="10">
        <f t="shared" si="0"/>
        <v>4</v>
      </c>
      <c r="G16" s="10">
        <f t="shared" si="1"/>
        <v>1</v>
      </c>
      <c r="H16" s="9">
        <v>3</v>
      </c>
      <c r="I16" s="9"/>
      <c r="J16" s="9">
        <v>1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>
        <v>1</v>
      </c>
      <c r="V16" s="9"/>
      <c r="W16" s="9"/>
      <c r="X16" s="9"/>
      <c r="Y16" s="9">
        <v>1</v>
      </c>
      <c r="Z16" s="9">
        <v>1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107</v>
      </c>
      <c r="C17" s="10">
        <f>IF(D17="","",VLOOKUP(D17,データ!A:C,2,FALSE))</f>
        <v>99</v>
      </c>
      <c r="D17" s="7" t="s">
        <v>59</v>
      </c>
      <c r="E17" s="9">
        <v>4</v>
      </c>
      <c r="F17" s="10">
        <f t="shared" si="0"/>
        <v>4</v>
      </c>
      <c r="G17" s="10">
        <f t="shared" si="1"/>
        <v>1</v>
      </c>
      <c r="H17" s="9">
        <v>3</v>
      </c>
      <c r="I17" s="9">
        <v>1</v>
      </c>
      <c r="J17" s="9">
        <v>1</v>
      </c>
      <c r="K17" s="9"/>
      <c r="L17" s="9"/>
      <c r="M17" s="9"/>
      <c r="N17" s="9">
        <v>2</v>
      </c>
      <c r="O17" s="9">
        <v>1</v>
      </c>
      <c r="P17" s="9"/>
      <c r="Q17" s="9">
        <v>2</v>
      </c>
      <c r="R17" s="9"/>
      <c r="S17" s="9"/>
      <c r="T17" s="9"/>
      <c r="U17" s="9"/>
      <c r="V17" s="9"/>
      <c r="W17" s="9"/>
      <c r="X17" s="9"/>
      <c r="Y17" s="9">
        <v>1</v>
      </c>
      <c r="Z17" s="9">
        <v>1</v>
      </c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106</v>
      </c>
      <c r="C18" s="10">
        <f>IF(D18="","",VLOOKUP(D18,データ!A:C,2,FALSE))</f>
        <v>9</v>
      </c>
      <c r="D18" s="7" t="s">
        <v>56</v>
      </c>
      <c r="E18" s="9">
        <v>3</v>
      </c>
      <c r="F18" s="10">
        <f t="shared" si="0"/>
        <v>3</v>
      </c>
      <c r="G18" s="10">
        <f t="shared" si="1"/>
        <v>1</v>
      </c>
      <c r="H18" s="9">
        <v>2</v>
      </c>
      <c r="I18" s="9"/>
      <c r="J18" s="9">
        <v>1</v>
      </c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>
        <v>1</v>
      </c>
      <c r="Z18" s="9">
        <v>2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108</v>
      </c>
      <c r="C19" s="10">
        <f>IF(D19="","",VLOOKUP(D19,データ!A:C,2,FALSE))</f>
        <v>5</v>
      </c>
      <c r="D19" s="7" t="s">
        <v>57</v>
      </c>
      <c r="E19" s="9">
        <v>2</v>
      </c>
      <c r="F19" s="10">
        <f t="shared" si="0"/>
        <v>2</v>
      </c>
      <c r="G19" s="10">
        <f t="shared" si="1"/>
        <v>1</v>
      </c>
      <c r="H19" s="9">
        <v>1</v>
      </c>
      <c r="I19" s="9"/>
      <c r="J19" s="9">
        <v>1</v>
      </c>
      <c r="K19" s="9"/>
      <c r="L19" s="9"/>
      <c r="M19" s="9"/>
      <c r="N19" s="9"/>
      <c r="O19" s="9"/>
      <c r="P19" s="9">
        <v>1</v>
      </c>
      <c r="Q19" s="9"/>
      <c r="R19" s="9"/>
      <c r="S19" s="9"/>
      <c r="T19" s="9"/>
      <c r="U19" s="9"/>
      <c r="V19" s="9"/>
      <c r="W19" s="9"/>
      <c r="X19" s="9"/>
      <c r="Y19" s="9">
        <v>1</v>
      </c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106</v>
      </c>
      <c r="C20" s="10">
        <f>IF(D20="","",VLOOKUP(D20,データ!A:C,2,FALSE))</f>
        <v>46</v>
      </c>
      <c r="D20" s="7" t="s">
        <v>181</v>
      </c>
      <c r="E20" s="9">
        <v>1</v>
      </c>
      <c r="F20" s="10">
        <f t="shared" si="0"/>
        <v>0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>
        <v>1</v>
      </c>
      <c r="T20" s="9"/>
      <c r="U20" s="9"/>
      <c r="V20" s="9"/>
      <c r="W20" s="9"/>
      <c r="X20" s="9"/>
      <c r="Y20" s="9">
        <v>1</v>
      </c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39</v>
      </c>
      <c r="F30" s="1">
        <f t="shared" si="3"/>
        <v>32</v>
      </c>
      <c r="G30" s="1">
        <f t="shared" si="3"/>
        <v>10</v>
      </c>
      <c r="H30" s="1">
        <f t="shared" si="3"/>
        <v>17</v>
      </c>
      <c r="I30" s="1">
        <f t="shared" si="3"/>
        <v>3</v>
      </c>
      <c r="J30" s="1">
        <f t="shared" si="3"/>
        <v>9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3</v>
      </c>
      <c r="P30" s="1">
        <f t="shared" si="3"/>
        <v>4</v>
      </c>
      <c r="Q30" s="1">
        <f t="shared" si="3"/>
        <v>7</v>
      </c>
      <c r="R30" s="1">
        <f t="shared" si="3"/>
        <v>3</v>
      </c>
      <c r="S30" s="1">
        <f t="shared" si="3"/>
        <v>4</v>
      </c>
      <c r="T30" s="1">
        <f t="shared" si="3"/>
        <v>0</v>
      </c>
      <c r="U30" s="1">
        <f t="shared" si="3"/>
        <v>1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7</v>
      </c>
      <c r="AA30" s="1">
        <f t="shared" si="3"/>
        <v>3</v>
      </c>
      <c r="AJ30" s="1">
        <f t="shared" ref="AJ30:AU30" si="4">SUM(AJ10:AJ29)</f>
        <v>6</v>
      </c>
      <c r="AK30" s="1">
        <f t="shared" si="4"/>
        <v>1</v>
      </c>
      <c r="AL30" s="1">
        <f t="shared" si="4"/>
        <v>117</v>
      </c>
      <c r="AM30" s="1">
        <f t="shared" si="4"/>
        <v>4</v>
      </c>
      <c r="AN30" s="1">
        <f t="shared" si="4"/>
        <v>2</v>
      </c>
      <c r="AO30" s="1">
        <f t="shared" si="4"/>
        <v>35</v>
      </c>
      <c r="AP30" s="1">
        <f t="shared" si="4"/>
        <v>4</v>
      </c>
      <c r="AQ30" s="1">
        <f t="shared" si="4"/>
        <v>4</v>
      </c>
      <c r="AR30" s="1">
        <f>SUM(AR10:AR29)</f>
        <v>3</v>
      </c>
      <c r="AS30" s="1">
        <f>SUM(AS10:AS29)</f>
        <v>1</v>
      </c>
      <c r="AT30" s="1">
        <f>SUM(AT10:AT29)</f>
        <v>6</v>
      </c>
      <c r="AU30" s="1">
        <f t="shared" si="4"/>
        <v>1</v>
      </c>
    </row>
    <row r="31" spans="1:47" ht="14.25" x14ac:dyDescent="0.7">
      <c r="D31" s="1">
        <f>G30/F30</f>
        <v>0.3125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5</v>
      </c>
      <c r="F41" s="1">
        <f t="shared" si="5"/>
        <v>5</v>
      </c>
      <c r="G41" s="1">
        <f t="shared" si="5"/>
        <v>0</v>
      </c>
      <c r="H41" s="1">
        <f t="shared" si="5"/>
        <v>2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1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2</v>
      </c>
      <c r="Z41" s="1">
        <f t="shared" si="6"/>
        <v>2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3</v>
      </c>
      <c r="AK41" s="1">
        <f t="shared" si="7"/>
        <v>0</v>
      </c>
      <c r="AL41" s="1">
        <f t="shared" si="7"/>
        <v>25</v>
      </c>
      <c r="AM41" s="1">
        <f t="shared" si="7"/>
        <v>0</v>
      </c>
      <c r="AN41" s="1">
        <f t="shared" si="7"/>
        <v>0</v>
      </c>
      <c r="AO41" s="1">
        <f t="shared" si="7"/>
        <v>11</v>
      </c>
      <c r="AP41" s="1">
        <f t="shared" si="7"/>
        <v>0</v>
      </c>
      <c r="AQ41" s="1">
        <f t="shared" si="7"/>
        <v>1</v>
      </c>
      <c r="AR41" s="1">
        <f t="shared" si="7"/>
        <v>0</v>
      </c>
      <c r="AS41" s="1">
        <f t="shared" si="7"/>
        <v>1</v>
      </c>
      <c r="AT41" s="1">
        <f t="shared" ref="AN41:AU56" si="8">IFERROR(VLOOKUP($D41,$AC$10:$AU$29,AT$71,FALSE),0)</f>
        <v>2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4</v>
      </c>
      <c r="F42" s="1">
        <f t="shared" si="5"/>
        <v>2</v>
      </c>
      <c r="G42" s="1">
        <f t="shared" si="5"/>
        <v>1</v>
      </c>
      <c r="H42" s="1">
        <f t="shared" si="5"/>
        <v>1</v>
      </c>
      <c r="I42" s="1">
        <f t="shared" si="5"/>
        <v>0</v>
      </c>
      <c r="J42" s="1">
        <f t="shared" si="5"/>
        <v>0</v>
      </c>
      <c r="K42" s="1">
        <f t="shared" si="5"/>
        <v>1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1</v>
      </c>
      <c r="P42" s="1">
        <f t="shared" si="5"/>
        <v>1</v>
      </c>
      <c r="Q42" s="1">
        <f t="shared" si="5"/>
        <v>1</v>
      </c>
      <c r="R42" s="1">
        <f t="shared" si="5"/>
        <v>1</v>
      </c>
      <c r="S42" s="1">
        <f t="shared" si="5"/>
        <v>1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7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2</v>
      </c>
      <c r="G43" s="1">
        <f t="shared" si="5"/>
        <v>1</v>
      </c>
      <c r="H43" s="1">
        <f t="shared" si="5"/>
        <v>1</v>
      </c>
      <c r="I43" s="1">
        <f t="shared" si="5"/>
        <v>0</v>
      </c>
      <c r="J43" s="1">
        <f t="shared" si="5"/>
        <v>1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1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3</v>
      </c>
      <c r="F45" s="1">
        <f t="shared" si="5"/>
        <v>3</v>
      </c>
      <c r="G45" s="1">
        <f t="shared" si="5"/>
        <v>1</v>
      </c>
      <c r="H45" s="1">
        <f t="shared" si="5"/>
        <v>2</v>
      </c>
      <c r="I45" s="1">
        <f t="shared" si="5"/>
        <v>0</v>
      </c>
      <c r="J45" s="1">
        <f t="shared" si="5"/>
        <v>1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1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1</v>
      </c>
      <c r="Z45" s="1">
        <f t="shared" si="6"/>
        <v>2</v>
      </c>
      <c r="AA45" s="1">
        <f t="shared" si="6"/>
        <v>1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4</v>
      </c>
      <c r="F48" s="1">
        <f t="shared" si="5"/>
        <v>2</v>
      </c>
      <c r="G48" s="1">
        <f t="shared" si="5"/>
        <v>1</v>
      </c>
      <c r="H48" s="1">
        <f t="shared" si="5"/>
        <v>0</v>
      </c>
      <c r="I48" s="1">
        <f t="shared" si="5"/>
        <v>0</v>
      </c>
      <c r="J48" s="1">
        <f t="shared" si="5"/>
        <v>1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1</v>
      </c>
      <c r="R48" s="1">
        <f t="shared" si="5"/>
        <v>2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5</v>
      </c>
      <c r="Z48" s="1">
        <f t="shared" si="6"/>
        <v>0</v>
      </c>
      <c r="AA48" s="1">
        <f t="shared" si="6"/>
        <v>1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3</v>
      </c>
      <c r="G51" s="1">
        <f t="shared" si="5"/>
        <v>1</v>
      </c>
      <c r="H51" s="1">
        <f t="shared" si="5"/>
        <v>1</v>
      </c>
      <c r="I51" s="1">
        <f t="shared" si="5"/>
        <v>0</v>
      </c>
      <c r="J51" s="1">
        <f t="shared" si="5"/>
        <v>1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1</v>
      </c>
      <c r="Z51" s="1">
        <f t="shared" si="6"/>
        <v>1</v>
      </c>
      <c r="AA51" s="1">
        <f t="shared" si="6"/>
        <v>1</v>
      </c>
      <c r="AD51" s="1">
        <f t="shared" si="7"/>
        <v>1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3</v>
      </c>
      <c r="AK51" s="1">
        <f t="shared" si="7"/>
        <v>1</v>
      </c>
      <c r="AL51" s="1">
        <f t="shared" si="7"/>
        <v>81</v>
      </c>
      <c r="AM51" s="1">
        <f t="shared" si="7"/>
        <v>2</v>
      </c>
      <c r="AN51" s="1">
        <f t="shared" si="7"/>
        <v>0</v>
      </c>
      <c r="AO51" s="1">
        <f t="shared" si="7"/>
        <v>20</v>
      </c>
      <c r="AP51" s="1">
        <f t="shared" si="7"/>
        <v>4</v>
      </c>
      <c r="AQ51" s="1">
        <f t="shared" si="7"/>
        <v>3</v>
      </c>
      <c r="AR51" s="1">
        <f t="shared" si="7"/>
        <v>0</v>
      </c>
      <c r="AS51" s="1">
        <f t="shared" si="7"/>
        <v>0</v>
      </c>
      <c r="AT51" s="1">
        <f t="shared" si="8"/>
        <v>3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5</v>
      </c>
      <c r="F53" s="1">
        <f t="shared" si="5"/>
        <v>3</v>
      </c>
      <c r="G53" s="1">
        <f t="shared" si="5"/>
        <v>0</v>
      </c>
      <c r="H53" s="1">
        <f t="shared" si="5"/>
        <v>1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1</v>
      </c>
      <c r="Q53" s="1">
        <f t="shared" si="5"/>
        <v>1</v>
      </c>
      <c r="R53" s="1">
        <f t="shared" si="5"/>
        <v>0</v>
      </c>
      <c r="S53" s="1">
        <f t="shared" si="5"/>
        <v>2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4</v>
      </c>
      <c r="G56" s="1">
        <f t="shared" si="5"/>
        <v>1</v>
      </c>
      <c r="H56" s="1">
        <f t="shared" si="5"/>
        <v>3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1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1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11</v>
      </c>
      <c r="AM56" s="1">
        <f t="shared" si="7"/>
        <v>2</v>
      </c>
      <c r="AN56" s="1">
        <f t="shared" si="7"/>
        <v>2</v>
      </c>
      <c r="AO56" s="1">
        <f t="shared" si="7"/>
        <v>4</v>
      </c>
      <c r="AP56" s="1">
        <f t="shared" si="7"/>
        <v>0</v>
      </c>
      <c r="AQ56" s="1">
        <f t="shared" si="7"/>
        <v>0</v>
      </c>
      <c r="AR56" s="1">
        <f t="shared" si="7"/>
        <v>3</v>
      </c>
      <c r="AS56" s="1">
        <f t="shared" si="7"/>
        <v>0</v>
      </c>
      <c r="AT56" s="1">
        <f t="shared" si="8"/>
        <v>1</v>
      </c>
      <c r="AU56" s="1">
        <f t="shared" si="8"/>
        <v>1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1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1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1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4</v>
      </c>
      <c r="F61" s="1">
        <f t="shared" si="10"/>
        <v>4</v>
      </c>
      <c r="G61" s="1">
        <f t="shared" si="10"/>
        <v>3</v>
      </c>
      <c r="H61" s="1">
        <f t="shared" si="10"/>
        <v>3</v>
      </c>
      <c r="I61" s="1">
        <f t="shared" si="10"/>
        <v>2</v>
      </c>
      <c r="J61" s="1">
        <f t="shared" si="10"/>
        <v>3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1</v>
      </c>
      <c r="P61" s="1">
        <f t="shared" si="10"/>
        <v>1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4</v>
      </c>
      <c r="F63" s="1">
        <f t="shared" si="10"/>
        <v>4</v>
      </c>
      <c r="G63" s="1">
        <f t="shared" si="10"/>
        <v>1</v>
      </c>
      <c r="H63" s="1">
        <f t="shared" si="10"/>
        <v>3</v>
      </c>
      <c r="I63" s="1">
        <f t="shared" si="10"/>
        <v>1</v>
      </c>
      <c r="J63" s="1">
        <f t="shared" si="10"/>
        <v>1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2</v>
      </c>
      <c r="O63" s="1">
        <f t="shared" si="10"/>
        <v>1</v>
      </c>
      <c r="P63" s="1">
        <f t="shared" si="10"/>
        <v>0</v>
      </c>
      <c r="Q63" s="1">
        <f t="shared" si="10"/>
        <v>2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1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80766712-05E8-4400-9DB7-CC507CD6872E}">
      <formula1>"○,●,△"</formula1>
    </dataValidation>
    <dataValidation type="date" allowBlank="1" showInputMessage="1" showErrorMessage="1" promptTitle="日付入力" prompt="日付を入力してください" sqref="A2:D2" xr:uid="{CEEDB943-7075-47E9-ABD8-95D8F61EFB6E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EF274A99-FAFB-4349-BC57-777A4F39C145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0092EF29-E340-48D2-8A50-06030ECA27B1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C4ED0F91-C035-4BAC-9675-31B21574D028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FDAA6F1D-A351-4FB1-AD4E-A0C145A02E51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71F05153-A131-4EE8-9281-04E6EC7A87C3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54CE1430-4786-4F9C-AD13-DBE419796251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C70AE301-D900-4880-B14D-A3CC2BD604F5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CB8BB2AB-7910-4A91-B190-1DA0187CDE68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6417D545-4850-4744-9ECF-472BB85FD758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D72714B3-DA9C-4058-861A-83A39EF4F460}">
          <x14:formula1>
            <xm:f>データ!$A:$A</xm:f>
          </x14:formula1>
          <xm:sqref>D41:D70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A1EA3-BB58-460F-993C-ABD6F203034D}">
  <sheetPr codeName="Sheet13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45437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214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0</v>
      </c>
      <c r="H5" s="2">
        <v>1</v>
      </c>
      <c r="I5" s="2">
        <v>1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2</v>
      </c>
      <c r="U5" s="10">
        <f>IF(D5="九州工業大学",G30,AT30)</f>
        <v>3</v>
      </c>
      <c r="V5" s="10">
        <f>IF(D5="九州工業大学",AA30,N30)</f>
        <v>5</v>
      </c>
      <c r="AC5" s="14" t="s">
        <v>94</v>
      </c>
    </row>
    <row r="6" spans="1:47" ht="18" thickBot="1" x14ac:dyDescent="0.75">
      <c r="C6" s="95"/>
      <c r="D6" s="95" t="s">
        <v>214</v>
      </c>
      <c r="E6" s="95"/>
      <c r="F6" s="95"/>
      <c r="G6" s="2">
        <v>4</v>
      </c>
      <c r="H6" s="2">
        <v>0</v>
      </c>
      <c r="I6" s="2">
        <v>1</v>
      </c>
      <c r="J6" s="2">
        <v>0</v>
      </c>
      <c r="K6" s="2">
        <v>0</v>
      </c>
      <c r="L6" s="2">
        <v>0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5</v>
      </c>
      <c r="U6" s="10">
        <f>IF(D6="九州工業大学",G30,AT30)</f>
        <v>9</v>
      </c>
      <c r="V6" s="10">
        <f>IF(D6="九州工業大学",AA30,N30)</f>
        <v>2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101</v>
      </c>
      <c r="C10" s="10">
        <f>IF(D10="","",VLOOKUP(D10,データ!A:C,2,FALSE))</f>
        <v>1</v>
      </c>
      <c r="D10" s="7" t="s">
        <v>81</v>
      </c>
      <c r="E10" s="9">
        <v>3</v>
      </c>
      <c r="F10" s="10">
        <f>IF(D10="","",E10-R10-S10-W10-X10)</f>
        <v>3</v>
      </c>
      <c r="G10" s="10">
        <f>IF(D10="","",SUM(J10:M10))</f>
        <v>1</v>
      </c>
      <c r="H10" s="9"/>
      <c r="I10" s="9"/>
      <c r="J10" s="9">
        <v>1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>
        <v>2</v>
      </c>
      <c r="AA10" s="9"/>
      <c r="AB10" s="10">
        <f>IF(AC10="","",VLOOKUP(AC10,データ!A:C,2,FALSE))</f>
        <v>1</v>
      </c>
      <c r="AC10" s="7" t="s">
        <v>81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6</v>
      </c>
      <c r="AK10" s="9"/>
      <c r="AL10" s="9">
        <v>96</v>
      </c>
      <c r="AM10" s="9">
        <v>5</v>
      </c>
      <c r="AN10" s="9">
        <v>1</v>
      </c>
      <c r="AO10" s="9">
        <v>31</v>
      </c>
      <c r="AP10" s="9">
        <v>2</v>
      </c>
      <c r="AQ10" s="9">
        <v>3</v>
      </c>
      <c r="AR10" s="9"/>
      <c r="AS10" s="9"/>
      <c r="AT10" s="9">
        <v>9</v>
      </c>
      <c r="AU10" s="9"/>
    </row>
    <row r="11" spans="1:47" x14ac:dyDescent="0.7">
      <c r="A11" s="2">
        <v>2</v>
      </c>
      <c r="B11" s="8" t="s">
        <v>109</v>
      </c>
      <c r="C11" s="10">
        <f>IF(D11="","",VLOOKUP(D11,データ!A:C,2,FALSE))</f>
        <v>23</v>
      </c>
      <c r="D11" s="7" t="s">
        <v>183</v>
      </c>
      <c r="E11" s="9">
        <v>3</v>
      </c>
      <c r="F11" s="10">
        <f t="shared" ref="F11:F29" si="0">IF(D11="","",E11-R11-S11-W11-X11)</f>
        <v>3</v>
      </c>
      <c r="G11" s="10">
        <f t="shared" ref="G11:G29" si="1">IF(D11="","",SUM(J11:M11))</f>
        <v>0</v>
      </c>
      <c r="H11" s="9"/>
      <c r="I11" s="9"/>
      <c r="J11" s="9"/>
      <c r="K11" s="9"/>
      <c r="L11" s="9"/>
      <c r="M11" s="9"/>
      <c r="N11" s="9"/>
      <c r="O11" s="9"/>
      <c r="P11" s="9">
        <v>1</v>
      </c>
      <c r="Q11" s="9">
        <v>1</v>
      </c>
      <c r="R11" s="9"/>
      <c r="S11" s="9"/>
      <c r="T11" s="9"/>
      <c r="U11" s="9"/>
      <c r="V11" s="9"/>
      <c r="W11" s="9"/>
      <c r="X11" s="9"/>
      <c r="Y11" s="9">
        <v>1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99</v>
      </c>
      <c r="C12" s="10">
        <f>IF(D12="","",VLOOKUP(D12,データ!A:C,2,FALSE))</f>
        <v>33</v>
      </c>
      <c r="D12" s="7" t="s">
        <v>65</v>
      </c>
      <c r="E12" s="9">
        <v>3</v>
      </c>
      <c r="F12" s="10">
        <f t="shared" si="0"/>
        <v>3</v>
      </c>
      <c r="G12" s="10">
        <f t="shared" si="1"/>
        <v>1</v>
      </c>
      <c r="H12" s="9"/>
      <c r="I12" s="9"/>
      <c r="J12" s="9"/>
      <c r="K12" s="9">
        <v>1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3</v>
      </c>
      <c r="Z12" s="9">
        <v>4</v>
      </c>
      <c r="AA12" s="9">
        <v>1</v>
      </c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104</v>
      </c>
      <c r="C13" s="10">
        <f>IF(D13="","",VLOOKUP(D13,データ!A:C,2,FALSE))</f>
        <v>53</v>
      </c>
      <c r="D13" s="7" t="s">
        <v>53</v>
      </c>
      <c r="E13" s="9">
        <v>3</v>
      </c>
      <c r="F13" s="10">
        <f t="shared" si="0"/>
        <v>3</v>
      </c>
      <c r="G13" s="10">
        <f t="shared" si="1"/>
        <v>1</v>
      </c>
      <c r="H13" s="9">
        <v>1</v>
      </c>
      <c r="I13" s="9">
        <v>1</v>
      </c>
      <c r="J13" s="9">
        <v>1</v>
      </c>
      <c r="K13" s="9"/>
      <c r="L13" s="9"/>
      <c r="M13" s="9"/>
      <c r="N13" s="9">
        <v>1</v>
      </c>
      <c r="O13" s="9">
        <v>1</v>
      </c>
      <c r="P13" s="9">
        <v>1</v>
      </c>
      <c r="Q13" s="9"/>
      <c r="R13" s="9"/>
      <c r="S13" s="9"/>
      <c r="T13" s="9"/>
      <c r="U13" s="9"/>
      <c r="V13" s="9"/>
      <c r="W13" s="9"/>
      <c r="X13" s="9"/>
      <c r="Y13" s="9">
        <v>1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106</v>
      </c>
      <c r="C14" s="10">
        <f>IF(D14="","",VLOOKUP(D14,データ!A:C,2,FALSE))</f>
        <v>3</v>
      </c>
      <c r="D14" s="7" t="s">
        <v>73</v>
      </c>
      <c r="E14" s="9">
        <v>3</v>
      </c>
      <c r="F14" s="10">
        <f t="shared" si="0"/>
        <v>3</v>
      </c>
      <c r="G14" s="10">
        <f t="shared" si="1"/>
        <v>0</v>
      </c>
      <c r="H14" s="9">
        <v>2</v>
      </c>
      <c r="I14" s="9"/>
      <c r="J14" s="9"/>
      <c r="K14" s="9"/>
      <c r="L14" s="9"/>
      <c r="M14" s="9"/>
      <c r="N14" s="9"/>
      <c r="O14" s="9"/>
      <c r="P14" s="9"/>
      <c r="Q14" s="9">
        <v>2</v>
      </c>
      <c r="R14" s="9"/>
      <c r="S14" s="9"/>
      <c r="T14" s="9"/>
      <c r="U14" s="9"/>
      <c r="V14" s="9"/>
      <c r="W14" s="9"/>
      <c r="X14" s="9"/>
      <c r="Y14" s="9"/>
      <c r="Z14" s="9"/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103</v>
      </c>
      <c r="C15" s="10">
        <f>IF(D15="","",VLOOKUP(D15,データ!A:C,2,FALSE))</f>
        <v>50</v>
      </c>
      <c r="D15" s="7" t="s">
        <v>63</v>
      </c>
      <c r="E15" s="9">
        <v>3</v>
      </c>
      <c r="F15" s="10">
        <f t="shared" si="0"/>
        <v>3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>
        <v>1</v>
      </c>
      <c r="R15" s="9"/>
      <c r="S15" s="9"/>
      <c r="T15" s="9"/>
      <c r="U15" s="9"/>
      <c r="V15" s="9"/>
      <c r="W15" s="9"/>
      <c r="X15" s="9"/>
      <c r="Y15" s="9">
        <v>8</v>
      </c>
      <c r="Z15" s="9"/>
      <c r="AA15" s="9">
        <v>1</v>
      </c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108</v>
      </c>
      <c r="C16" s="10">
        <f>IF(D16="","",VLOOKUP(D16,データ!A:C,2,FALSE))</f>
        <v>5</v>
      </c>
      <c r="D16" s="7" t="s">
        <v>57</v>
      </c>
      <c r="E16" s="9">
        <v>2</v>
      </c>
      <c r="F16" s="10">
        <f t="shared" si="0"/>
        <v>1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>
        <v>1</v>
      </c>
      <c r="R16" s="9">
        <v>1</v>
      </c>
      <c r="S16" s="9"/>
      <c r="T16" s="9"/>
      <c r="U16" s="9"/>
      <c r="V16" s="9"/>
      <c r="W16" s="9"/>
      <c r="X16" s="9"/>
      <c r="Y16" s="9"/>
      <c r="Z16" s="9"/>
      <c r="AA16" s="9">
        <v>1</v>
      </c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105</v>
      </c>
      <c r="C17" s="10">
        <f>IF(D17="","",VLOOKUP(D17,データ!A:C,2,FALSE))</f>
        <v>46</v>
      </c>
      <c r="D17" s="7" t="s">
        <v>181</v>
      </c>
      <c r="E17" s="9">
        <v>3</v>
      </c>
      <c r="F17" s="10">
        <f t="shared" si="0"/>
        <v>3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>
        <v>1</v>
      </c>
      <c r="O17" s="9"/>
      <c r="P17" s="9"/>
      <c r="Q17" s="9">
        <v>1</v>
      </c>
      <c r="R17" s="9"/>
      <c r="S17" s="9"/>
      <c r="T17" s="9"/>
      <c r="U17" s="9"/>
      <c r="V17" s="9"/>
      <c r="W17" s="9"/>
      <c r="X17" s="9"/>
      <c r="Y17" s="9">
        <v>3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107</v>
      </c>
      <c r="C18" s="10">
        <f>IF(D18="","",VLOOKUP(D18,データ!A:C,2,FALSE))</f>
        <v>99</v>
      </c>
      <c r="D18" s="7" t="s">
        <v>59</v>
      </c>
      <c r="E18" s="9">
        <v>2</v>
      </c>
      <c r="F18" s="10">
        <f t="shared" si="0"/>
        <v>2</v>
      </c>
      <c r="G18" s="10">
        <f t="shared" si="1"/>
        <v>0</v>
      </c>
      <c r="H18" s="9"/>
      <c r="I18" s="9"/>
      <c r="J18" s="9"/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>
        <v>2</v>
      </c>
      <c r="Z18" s="9">
        <v>2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107</v>
      </c>
      <c r="C19" s="10">
        <f>IF(D19="","",VLOOKUP(D19,データ!A:C,2,FALSE))</f>
        <v>7</v>
      </c>
      <c r="D19" s="7" t="s">
        <v>216</v>
      </c>
      <c r="E19" s="9"/>
      <c r="F19" s="10">
        <f t="shared" si="0"/>
        <v>0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108</v>
      </c>
      <c r="C20" s="10">
        <f>IF(D20="","",VLOOKUP(D20,データ!A:C,2,FALSE))</f>
        <v>9</v>
      </c>
      <c r="D20" s="7" t="s">
        <v>217</v>
      </c>
      <c r="E20" s="9">
        <v>1</v>
      </c>
      <c r="F20" s="10">
        <f t="shared" si="0"/>
        <v>1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26</v>
      </c>
      <c r="F30" s="1">
        <f t="shared" si="3"/>
        <v>25</v>
      </c>
      <c r="G30" s="1">
        <f t="shared" si="3"/>
        <v>3</v>
      </c>
      <c r="H30" s="1">
        <f t="shared" si="3"/>
        <v>5</v>
      </c>
      <c r="I30" s="1">
        <f t="shared" si="3"/>
        <v>1</v>
      </c>
      <c r="J30" s="1">
        <f t="shared" si="3"/>
        <v>2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1</v>
      </c>
      <c r="P30" s="1">
        <f t="shared" si="3"/>
        <v>2</v>
      </c>
      <c r="Q30" s="1">
        <f t="shared" si="3"/>
        <v>7</v>
      </c>
      <c r="R30" s="1">
        <f t="shared" si="3"/>
        <v>1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18</v>
      </c>
      <c r="Z30" s="1">
        <f t="shared" si="3"/>
        <v>8</v>
      </c>
      <c r="AA30" s="1">
        <f t="shared" si="3"/>
        <v>5</v>
      </c>
      <c r="AJ30" s="1">
        <f t="shared" ref="AJ30:AU30" si="4">SUM(AJ10:AJ29)</f>
        <v>6</v>
      </c>
      <c r="AK30" s="1">
        <f t="shared" si="4"/>
        <v>0</v>
      </c>
      <c r="AL30" s="1">
        <f t="shared" si="4"/>
        <v>96</v>
      </c>
      <c r="AM30" s="1">
        <f t="shared" si="4"/>
        <v>5</v>
      </c>
      <c r="AN30" s="1">
        <f t="shared" si="4"/>
        <v>1</v>
      </c>
      <c r="AO30" s="1">
        <f t="shared" si="4"/>
        <v>31</v>
      </c>
      <c r="AP30" s="1">
        <f t="shared" si="4"/>
        <v>2</v>
      </c>
      <c r="AQ30" s="1">
        <f t="shared" si="4"/>
        <v>3</v>
      </c>
      <c r="AR30" s="1">
        <f>SUM(AR10:AR29)</f>
        <v>0</v>
      </c>
      <c r="AS30" s="1">
        <f>SUM(AS10:AS29)</f>
        <v>0</v>
      </c>
      <c r="AT30" s="1">
        <f>SUM(AT10:AT29)</f>
        <v>9</v>
      </c>
      <c r="AU30" s="1">
        <f t="shared" si="4"/>
        <v>0</v>
      </c>
    </row>
    <row r="31" spans="1:47" ht="14.25" x14ac:dyDescent="0.7">
      <c r="D31" s="1">
        <f>G30/F30</f>
        <v>0.12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3</v>
      </c>
      <c r="G41" s="1">
        <f t="shared" si="5"/>
        <v>1</v>
      </c>
      <c r="H41" s="1">
        <f t="shared" si="5"/>
        <v>0</v>
      </c>
      <c r="I41" s="1">
        <f t="shared" si="5"/>
        <v>0</v>
      </c>
      <c r="J41" s="1">
        <f t="shared" si="5"/>
        <v>1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2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6</v>
      </c>
      <c r="AK41" s="1">
        <f t="shared" si="7"/>
        <v>0</v>
      </c>
      <c r="AL41" s="1">
        <f t="shared" si="7"/>
        <v>96</v>
      </c>
      <c r="AM41" s="1">
        <f t="shared" si="7"/>
        <v>5</v>
      </c>
      <c r="AN41" s="1">
        <f t="shared" si="7"/>
        <v>1</v>
      </c>
      <c r="AO41" s="1">
        <f t="shared" si="7"/>
        <v>31</v>
      </c>
      <c r="AP41" s="1">
        <f t="shared" si="7"/>
        <v>2</v>
      </c>
      <c r="AQ41" s="1">
        <f t="shared" si="7"/>
        <v>3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9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3</v>
      </c>
      <c r="F42" s="1">
        <f t="shared" si="5"/>
        <v>3</v>
      </c>
      <c r="G42" s="1">
        <f t="shared" si="5"/>
        <v>0</v>
      </c>
      <c r="H42" s="1">
        <f t="shared" si="5"/>
        <v>2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2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1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1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1</v>
      </c>
      <c r="R43" s="1">
        <f t="shared" si="5"/>
        <v>1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1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1</v>
      </c>
      <c r="F46" s="1">
        <f t="shared" si="5"/>
        <v>1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3</v>
      </c>
      <c r="F53" s="1">
        <f t="shared" si="5"/>
        <v>3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1</v>
      </c>
      <c r="Q53" s="1">
        <f t="shared" si="5"/>
        <v>1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1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1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3</v>
      </c>
      <c r="Z56" s="1">
        <f t="shared" si="6"/>
        <v>4</v>
      </c>
      <c r="AA56" s="1">
        <f t="shared" si="6"/>
        <v>1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3</v>
      </c>
      <c r="F57" s="1">
        <f t="shared" si="10"/>
        <v>3</v>
      </c>
      <c r="G57" s="1">
        <f t="shared" si="10"/>
        <v>0</v>
      </c>
      <c r="H57" s="1">
        <f t="shared" si="10"/>
        <v>1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1</v>
      </c>
      <c r="O57" s="1">
        <f t="shared" si="10"/>
        <v>0</v>
      </c>
      <c r="P57" s="1">
        <f t="shared" si="10"/>
        <v>0</v>
      </c>
      <c r="Q57" s="1">
        <f t="shared" si="10"/>
        <v>1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3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3</v>
      </c>
      <c r="F59" s="1">
        <f t="shared" si="10"/>
        <v>3</v>
      </c>
      <c r="G59" s="1">
        <f t="shared" si="10"/>
        <v>0</v>
      </c>
      <c r="H59" s="1">
        <f t="shared" si="10"/>
        <v>1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1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8</v>
      </c>
      <c r="Z59" s="1">
        <f t="shared" si="11"/>
        <v>0</v>
      </c>
      <c r="AA59" s="1">
        <f t="shared" si="11"/>
        <v>1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3</v>
      </c>
      <c r="G61" s="1">
        <f t="shared" si="10"/>
        <v>1</v>
      </c>
      <c r="H61" s="1">
        <f t="shared" si="10"/>
        <v>1</v>
      </c>
      <c r="I61" s="1">
        <f t="shared" si="10"/>
        <v>1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1</v>
      </c>
      <c r="P61" s="1">
        <f t="shared" si="10"/>
        <v>1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2</v>
      </c>
      <c r="F63" s="1">
        <f t="shared" si="10"/>
        <v>2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2</v>
      </c>
      <c r="Z63" s="1">
        <f t="shared" si="11"/>
        <v>2</v>
      </c>
      <c r="AA63" s="1">
        <f t="shared" si="11"/>
        <v>1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72BD0DB7-E2A4-4A4E-99A0-85709C81950C}">
      <formula1>"○,●,△"</formula1>
    </dataValidation>
    <dataValidation type="date" allowBlank="1" showInputMessage="1" showErrorMessage="1" promptTitle="日付入力" prompt="日付を入力してください" sqref="A2:D2" xr:uid="{5482A473-E928-4C0D-A4F8-C100FEEFA473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3A294FB5-470E-4D07-A172-06C7C3510FC1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B49DF3D4-7562-4731-B22E-5428831BD407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16FEF9A2-1EFE-47A3-96A3-81219CFEC355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名を選択してください" xr:uid="{D1545563-ECAF-40D4-85BE-757201CE65B9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0AA00940-CE88-4735-833A-79DBFCDCB2FF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C09C50D4-9650-4876-9C96-8940960DAF29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FE181616-FB19-4B96-9C6E-9ADE06A23921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6313275F-0526-479E-B096-A30902E6E7F1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EDB8E62B-A289-419E-A5F6-0B77119FEE9A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AF240509-23CE-4515-83E2-8F7D3C455E4F}">
          <x14:formula1>
            <xm:f>データ!$A:$A</xm:f>
          </x14:formula1>
          <xm:sqref>D41:D70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51373-E5F1-4C62-AA2D-6D9989CC6174}">
  <sheetPr codeName="Sheet15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45415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87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0.54166666666666663</v>
      </c>
      <c r="AD2" s="17" t="s">
        <v>46</v>
      </c>
      <c r="AE2" s="92">
        <v>0.625</v>
      </c>
      <c r="AF2" s="93"/>
      <c r="AG2" s="94"/>
      <c r="AH2" s="89" t="s">
        <v>186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90</v>
      </c>
      <c r="E5" s="95"/>
      <c r="F5" s="95"/>
      <c r="G5" s="2">
        <v>1</v>
      </c>
      <c r="H5" s="2">
        <v>0</v>
      </c>
      <c r="I5" s="2">
        <v>0</v>
      </c>
      <c r="J5" s="2">
        <v>0</v>
      </c>
      <c r="K5" s="2">
        <v>1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2</v>
      </c>
      <c r="U5" s="10">
        <f>IF(D5="九州工業大学",G30,AT30)</f>
        <v>4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87</v>
      </c>
      <c r="E6" s="95"/>
      <c r="F6" s="95"/>
      <c r="G6" s="2">
        <v>2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1</v>
      </c>
      <c r="N6" s="2"/>
      <c r="O6" s="2"/>
      <c r="P6" s="2"/>
      <c r="Q6" s="2"/>
      <c r="R6" s="2"/>
      <c r="S6" s="2"/>
      <c r="T6" s="10">
        <f>SUM(G6:S6)</f>
        <v>3</v>
      </c>
      <c r="U6" s="10">
        <f>IF(D6="九州工業大学",G30,AT30)</f>
        <v>8</v>
      </c>
      <c r="V6" s="10">
        <f>IF(D6="九州工業大学",AA30,N30)</f>
        <v>2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33</v>
      </c>
      <c r="D10" s="7" t="s">
        <v>65</v>
      </c>
      <c r="E10" s="9">
        <v>3</v>
      </c>
      <c r="F10" s="10">
        <f>IF(D10="","",E10-R10-S10-W10-X10)</f>
        <v>3</v>
      </c>
      <c r="G10" s="10">
        <f>IF(D10="","",SUM(J10:M10))</f>
        <v>1</v>
      </c>
      <c r="H10" s="9"/>
      <c r="I10" s="9"/>
      <c r="J10" s="9">
        <v>1</v>
      </c>
      <c r="K10" s="9"/>
      <c r="L10" s="9"/>
      <c r="M10" s="9"/>
      <c r="N10" s="9">
        <v>1</v>
      </c>
      <c r="O10" s="9"/>
      <c r="P10" s="9">
        <v>1</v>
      </c>
      <c r="Q10" s="9"/>
      <c r="R10" s="9"/>
      <c r="S10" s="9"/>
      <c r="T10" s="9"/>
      <c r="U10" s="9"/>
      <c r="V10" s="9"/>
      <c r="W10" s="9"/>
      <c r="X10" s="9"/>
      <c r="Y10" s="9">
        <v>2</v>
      </c>
      <c r="Z10" s="9">
        <v>1</v>
      </c>
      <c r="AA10" s="9"/>
      <c r="AB10" s="10">
        <f>IF(AC10="","",VLOOKUP(AC10,データ!A:C,2,FALSE))</f>
        <v>1</v>
      </c>
      <c r="AC10" s="7" t="s">
        <v>81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6</v>
      </c>
      <c r="AK10" s="18">
        <f>1/3</f>
        <v>0.33333333333333331</v>
      </c>
      <c r="AL10" s="9">
        <v>106</v>
      </c>
      <c r="AM10" s="9">
        <v>3</v>
      </c>
      <c r="AN10" s="9">
        <v>2</v>
      </c>
      <c r="AO10" s="9">
        <v>32</v>
      </c>
      <c r="AP10" s="9">
        <v>2</v>
      </c>
      <c r="AQ10" s="9">
        <v>3</v>
      </c>
      <c r="AR10" s="9"/>
      <c r="AS10" s="9"/>
      <c r="AT10" s="9">
        <v>8</v>
      </c>
      <c r="AU10" s="9"/>
    </row>
    <row r="11" spans="1:47" x14ac:dyDescent="0.7">
      <c r="A11" s="2">
        <v>2</v>
      </c>
      <c r="B11" s="8" t="s">
        <v>109</v>
      </c>
      <c r="C11" s="10">
        <f>IF(D11="","",VLOOKUP(D11,データ!A:C,2,FALSE))</f>
        <v>23</v>
      </c>
      <c r="D11" s="7" t="s">
        <v>183</v>
      </c>
      <c r="E11" s="9">
        <v>4</v>
      </c>
      <c r="F11" s="10">
        <f t="shared" ref="F11:F29" si="0">IF(D11="","",E11-R11-S11-W11-X11)</f>
        <v>3</v>
      </c>
      <c r="G11" s="10">
        <f t="shared" ref="G11:G29" si="1">IF(D11="","",SUM(J11:M11))</f>
        <v>1</v>
      </c>
      <c r="H11" s="9"/>
      <c r="I11" s="9"/>
      <c r="J11" s="9">
        <v>1</v>
      </c>
      <c r="K11" s="9"/>
      <c r="L11" s="9"/>
      <c r="M11" s="9"/>
      <c r="N11" s="9">
        <v>1</v>
      </c>
      <c r="O11" s="9">
        <v>1</v>
      </c>
      <c r="P11" s="9">
        <v>1</v>
      </c>
      <c r="Q11" s="9"/>
      <c r="R11" s="9"/>
      <c r="S11" s="9"/>
      <c r="T11" s="9"/>
      <c r="U11" s="9">
        <v>2</v>
      </c>
      <c r="V11" s="9"/>
      <c r="W11" s="9"/>
      <c r="X11" s="9">
        <v>1</v>
      </c>
      <c r="Y11" s="9">
        <v>2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106</v>
      </c>
      <c r="C12" s="10">
        <f>IF(D12="","",VLOOKUP(D12,データ!A:C,2,FALSE))</f>
        <v>12</v>
      </c>
      <c r="D12" s="7" t="s">
        <v>75</v>
      </c>
      <c r="E12" s="9">
        <v>4</v>
      </c>
      <c r="F12" s="10">
        <f t="shared" si="0"/>
        <v>4</v>
      </c>
      <c r="G12" s="10">
        <f t="shared" si="1"/>
        <v>0</v>
      </c>
      <c r="H12" s="9">
        <v>3</v>
      </c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>
        <v>1</v>
      </c>
      <c r="Z12" s="9">
        <v>2</v>
      </c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3</v>
      </c>
      <c r="D13" s="7" t="s">
        <v>73</v>
      </c>
      <c r="E13" s="9">
        <v>3</v>
      </c>
      <c r="F13" s="10">
        <f t="shared" si="0"/>
        <v>2</v>
      </c>
      <c r="G13" s="10">
        <f t="shared" si="1"/>
        <v>0</v>
      </c>
      <c r="H13" s="9"/>
      <c r="I13" s="9"/>
      <c r="J13" s="9"/>
      <c r="K13" s="9"/>
      <c r="L13" s="9"/>
      <c r="M13" s="9"/>
      <c r="N13" s="9"/>
      <c r="O13" s="9"/>
      <c r="P13" s="9"/>
      <c r="Q13" s="9">
        <v>1</v>
      </c>
      <c r="R13" s="9">
        <v>1</v>
      </c>
      <c r="S13" s="9"/>
      <c r="T13" s="9"/>
      <c r="U13" s="9"/>
      <c r="V13" s="9"/>
      <c r="W13" s="9"/>
      <c r="X13" s="9"/>
      <c r="Y13" s="9">
        <v>4</v>
      </c>
      <c r="Z13" s="9">
        <v>1</v>
      </c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104</v>
      </c>
      <c r="C14" s="10">
        <f>IF(D14="","",VLOOKUP(D14,データ!A:C,2,FALSE))</f>
        <v>53</v>
      </c>
      <c r="D14" s="7" t="s">
        <v>53</v>
      </c>
      <c r="E14" s="9">
        <v>3</v>
      </c>
      <c r="F14" s="10">
        <f t="shared" si="0"/>
        <v>2</v>
      </c>
      <c r="G14" s="10">
        <f t="shared" si="1"/>
        <v>1</v>
      </c>
      <c r="H14" s="9">
        <v>1</v>
      </c>
      <c r="I14" s="9">
        <v>1</v>
      </c>
      <c r="J14" s="9">
        <v>1</v>
      </c>
      <c r="K14" s="9"/>
      <c r="L14" s="9"/>
      <c r="M14" s="9"/>
      <c r="N14" s="9"/>
      <c r="O14" s="9">
        <v>1</v>
      </c>
      <c r="P14" s="9"/>
      <c r="Q14" s="9">
        <v>1</v>
      </c>
      <c r="R14" s="9"/>
      <c r="S14" s="9">
        <v>1</v>
      </c>
      <c r="T14" s="9"/>
      <c r="U14" s="9"/>
      <c r="V14" s="9"/>
      <c r="W14" s="9"/>
      <c r="X14" s="9"/>
      <c r="Y14" s="9"/>
      <c r="Z14" s="9"/>
      <c r="AA14" s="9">
        <v>1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107</v>
      </c>
      <c r="C15" s="10">
        <f>IF(D15="","",VLOOKUP(D15,データ!A:C,2,FALSE))</f>
        <v>99</v>
      </c>
      <c r="D15" s="7" t="s">
        <v>59</v>
      </c>
      <c r="E15" s="9">
        <v>3</v>
      </c>
      <c r="F15" s="10">
        <f t="shared" si="0"/>
        <v>3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>
        <v>2</v>
      </c>
      <c r="R15" s="9"/>
      <c r="S15" s="9"/>
      <c r="T15" s="9"/>
      <c r="U15" s="9"/>
      <c r="V15" s="9"/>
      <c r="W15" s="9"/>
      <c r="X15" s="9"/>
      <c r="Y15" s="9">
        <v>6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101</v>
      </c>
      <c r="C16" s="10">
        <f>IF(D16="","",VLOOKUP(D16,データ!A:C,2,FALSE))</f>
        <v>1</v>
      </c>
      <c r="D16" s="7" t="s">
        <v>81</v>
      </c>
      <c r="E16" s="9">
        <v>3</v>
      </c>
      <c r="F16" s="10">
        <f t="shared" si="0"/>
        <v>1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>
        <v>2</v>
      </c>
      <c r="S16" s="9"/>
      <c r="T16" s="9"/>
      <c r="U16" s="9"/>
      <c r="V16" s="9"/>
      <c r="W16" s="9"/>
      <c r="X16" s="9"/>
      <c r="Y16" s="9">
        <v>1</v>
      </c>
      <c r="Z16" s="9">
        <v>1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105</v>
      </c>
      <c r="C17" s="10">
        <f>IF(D17="","",VLOOKUP(D17,データ!A:C,2,FALSE))</f>
        <v>46</v>
      </c>
      <c r="D17" s="7" t="s">
        <v>181</v>
      </c>
      <c r="E17" s="9">
        <v>2</v>
      </c>
      <c r="F17" s="10">
        <f t="shared" si="0"/>
        <v>2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>
        <v>2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108</v>
      </c>
      <c r="C18" s="10">
        <f>IF(D18="","",VLOOKUP(D18,データ!A:C,2,FALSE))</f>
        <v>47</v>
      </c>
      <c r="D18" s="7" t="s">
        <v>54</v>
      </c>
      <c r="E18" s="9">
        <v>2</v>
      </c>
      <c r="F18" s="10">
        <f t="shared" si="0"/>
        <v>2</v>
      </c>
      <c r="G18" s="10">
        <f t="shared" si="1"/>
        <v>1</v>
      </c>
      <c r="H18" s="9"/>
      <c r="I18" s="9"/>
      <c r="J18" s="9">
        <v>1</v>
      </c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107</v>
      </c>
      <c r="C19" s="10">
        <f>IF(D19="","",VLOOKUP(D19,データ!A:C,2,FALSE))</f>
        <v>51</v>
      </c>
      <c r="D19" s="7" t="s">
        <v>61</v>
      </c>
      <c r="E19" s="9">
        <v>1</v>
      </c>
      <c r="F19" s="10">
        <f t="shared" si="0"/>
        <v>1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>
        <v>1</v>
      </c>
      <c r="Z19" s="9">
        <v>1</v>
      </c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106</v>
      </c>
      <c r="C20" s="10">
        <f>IF(D20="","",VLOOKUP(D20,データ!A:C,2,FALSE))</f>
        <v>21</v>
      </c>
      <c r="D20" s="7" t="s">
        <v>184</v>
      </c>
      <c r="E20" s="9">
        <v>1</v>
      </c>
      <c r="F20" s="10">
        <f t="shared" si="0"/>
        <v>1</v>
      </c>
      <c r="G20" s="10">
        <f t="shared" si="1"/>
        <v>0</v>
      </c>
      <c r="H20" s="9">
        <v>1</v>
      </c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103</v>
      </c>
      <c r="C21" s="10">
        <f>IF(D21="","",VLOOKUP(D21,データ!A:C,2,FALSE))</f>
        <v>50</v>
      </c>
      <c r="D21" s="7" t="s">
        <v>63</v>
      </c>
      <c r="E21" s="9">
        <v>1</v>
      </c>
      <c r="F21" s="10">
        <f t="shared" si="0"/>
        <v>1</v>
      </c>
      <c r="G21" s="10">
        <f t="shared" si="1"/>
        <v>0</v>
      </c>
      <c r="H21" s="9"/>
      <c r="I21" s="9"/>
      <c r="J21" s="9"/>
      <c r="K21" s="9"/>
      <c r="L21" s="9"/>
      <c r="M21" s="9"/>
      <c r="N21" s="9"/>
      <c r="O21" s="9"/>
      <c r="P21" s="9"/>
      <c r="Q21" s="9">
        <v>1</v>
      </c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30</v>
      </c>
      <c r="F30" s="1">
        <f t="shared" si="3"/>
        <v>25</v>
      </c>
      <c r="G30" s="1">
        <f t="shared" si="3"/>
        <v>4</v>
      </c>
      <c r="H30" s="1">
        <f t="shared" si="3"/>
        <v>6</v>
      </c>
      <c r="I30" s="1">
        <f t="shared" si="3"/>
        <v>1</v>
      </c>
      <c r="J30" s="1">
        <f t="shared" si="3"/>
        <v>4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2</v>
      </c>
      <c r="O30" s="1">
        <f t="shared" si="3"/>
        <v>2</v>
      </c>
      <c r="P30" s="1">
        <f t="shared" si="3"/>
        <v>2</v>
      </c>
      <c r="Q30" s="1">
        <f t="shared" si="3"/>
        <v>8</v>
      </c>
      <c r="R30" s="1">
        <f t="shared" si="3"/>
        <v>3</v>
      </c>
      <c r="S30" s="1">
        <f t="shared" si="3"/>
        <v>1</v>
      </c>
      <c r="T30" s="1">
        <f t="shared" si="3"/>
        <v>0</v>
      </c>
      <c r="U30" s="1">
        <f t="shared" si="3"/>
        <v>2</v>
      </c>
      <c r="V30" s="1">
        <f t="shared" si="3"/>
        <v>0</v>
      </c>
      <c r="W30" s="1">
        <f t="shared" si="3"/>
        <v>0</v>
      </c>
      <c r="X30" s="1">
        <f t="shared" si="3"/>
        <v>1</v>
      </c>
      <c r="Y30" s="1">
        <f t="shared" si="3"/>
        <v>19</v>
      </c>
      <c r="Z30" s="1">
        <f t="shared" si="3"/>
        <v>6</v>
      </c>
      <c r="AA30" s="1">
        <f t="shared" si="3"/>
        <v>1</v>
      </c>
      <c r="AJ30" s="1">
        <f t="shared" ref="AJ30:AU30" si="4">SUM(AJ10:AJ29)</f>
        <v>6</v>
      </c>
      <c r="AK30" s="19">
        <f t="shared" si="4"/>
        <v>0.33333333333333331</v>
      </c>
      <c r="AL30" s="1">
        <f t="shared" si="4"/>
        <v>106</v>
      </c>
      <c r="AM30" s="1">
        <f t="shared" si="4"/>
        <v>3</v>
      </c>
      <c r="AN30" s="1">
        <f t="shared" si="4"/>
        <v>2</v>
      </c>
      <c r="AO30" s="1">
        <f t="shared" si="4"/>
        <v>32</v>
      </c>
      <c r="AP30" s="1">
        <f t="shared" si="4"/>
        <v>2</v>
      </c>
      <c r="AQ30" s="1">
        <f t="shared" si="4"/>
        <v>3</v>
      </c>
      <c r="AR30" s="1">
        <f>SUM(AR10:AR29)</f>
        <v>0</v>
      </c>
      <c r="AS30" s="1">
        <f>SUM(AS10:AS29)</f>
        <v>0</v>
      </c>
      <c r="AT30" s="1">
        <f>SUM(AT10:AT29)</f>
        <v>8</v>
      </c>
      <c r="AU30" s="1">
        <f t="shared" si="4"/>
        <v>0</v>
      </c>
    </row>
    <row r="31" spans="1:47" ht="14.25" x14ac:dyDescent="0.7">
      <c r="D31" s="1">
        <f>G30/F30</f>
        <v>0.16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1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2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1</v>
      </c>
      <c r="Z41" s="1">
        <f t="shared" si="6"/>
        <v>1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6</v>
      </c>
      <c r="AK41" s="1">
        <f t="shared" si="7"/>
        <v>0.33333333333333331</v>
      </c>
      <c r="AL41" s="1">
        <f t="shared" si="7"/>
        <v>106</v>
      </c>
      <c r="AM41" s="1">
        <f t="shared" si="7"/>
        <v>3</v>
      </c>
      <c r="AN41" s="1">
        <f t="shared" si="7"/>
        <v>2</v>
      </c>
      <c r="AO41" s="1">
        <f t="shared" si="7"/>
        <v>32</v>
      </c>
      <c r="AP41" s="1">
        <f t="shared" si="7"/>
        <v>2</v>
      </c>
      <c r="AQ41" s="1">
        <f t="shared" si="7"/>
        <v>3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8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3</v>
      </c>
      <c r="F42" s="1">
        <f t="shared" si="5"/>
        <v>2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1</v>
      </c>
      <c r="R42" s="1">
        <f t="shared" si="5"/>
        <v>1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4</v>
      </c>
      <c r="Z42" s="1">
        <f t="shared" si="6"/>
        <v>1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0</v>
      </c>
      <c r="F43" s="1">
        <f t="shared" si="5"/>
        <v>0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4</v>
      </c>
      <c r="F48" s="1">
        <f t="shared" si="5"/>
        <v>4</v>
      </c>
      <c r="G48" s="1">
        <f t="shared" si="5"/>
        <v>0</v>
      </c>
      <c r="H48" s="1">
        <f t="shared" si="5"/>
        <v>3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1</v>
      </c>
      <c r="Z48" s="1">
        <f t="shared" si="6"/>
        <v>2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1</v>
      </c>
      <c r="F52" s="1">
        <f t="shared" si="5"/>
        <v>1</v>
      </c>
      <c r="G52" s="1">
        <f t="shared" si="5"/>
        <v>0</v>
      </c>
      <c r="H52" s="1">
        <f t="shared" si="5"/>
        <v>1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1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3</v>
      </c>
      <c r="G53" s="1">
        <f t="shared" si="5"/>
        <v>1</v>
      </c>
      <c r="H53" s="1">
        <f t="shared" si="5"/>
        <v>0</v>
      </c>
      <c r="I53" s="1">
        <f t="shared" si="5"/>
        <v>0</v>
      </c>
      <c r="J53" s="1">
        <f t="shared" si="5"/>
        <v>1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1</v>
      </c>
      <c r="O53" s="1">
        <f t="shared" si="5"/>
        <v>1</v>
      </c>
      <c r="P53" s="1">
        <f t="shared" si="5"/>
        <v>1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2</v>
      </c>
      <c r="V53" s="1">
        <f t="shared" si="6"/>
        <v>0</v>
      </c>
      <c r="W53" s="1">
        <f t="shared" si="6"/>
        <v>0</v>
      </c>
      <c r="X53" s="1">
        <f t="shared" si="6"/>
        <v>1</v>
      </c>
      <c r="Y53" s="1">
        <f t="shared" si="6"/>
        <v>2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1</v>
      </c>
      <c r="O56" s="1">
        <f t="shared" si="5"/>
        <v>0</v>
      </c>
      <c r="P56" s="1">
        <f t="shared" si="5"/>
        <v>1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2</v>
      </c>
      <c r="Z56" s="1">
        <f t="shared" si="6"/>
        <v>1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2</v>
      </c>
      <c r="F57" s="1">
        <f t="shared" si="10"/>
        <v>2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2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2</v>
      </c>
      <c r="F58" s="1">
        <f t="shared" si="10"/>
        <v>2</v>
      </c>
      <c r="G58" s="1">
        <f t="shared" si="10"/>
        <v>1</v>
      </c>
      <c r="H58" s="1">
        <f t="shared" si="10"/>
        <v>0</v>
      </c>
      <c r="I58" s="1">
        <f t="shared" si="10"/>
        <v>0</v>
      </c>
      <c r="J58" s="1">
        <f t="shared" si="10"/>
        <v>1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1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1</v>
      </c>
      <c r="F59" s="1">
        <f t="shared" si="10"/>
        <v>1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1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1</v>
      </c>
      <c r="F60" s="1">
        <f t="shared" si="10"/>
        <v>1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1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1</v>
      </c>
      <c r="Z60" s="1">
        <f t="shared" si="11"/>
        <v>1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3</v>
      </c>
      <c r="F61" s="1">
        <f t="shared" si="10"/>
        <v>2</v>
      </c>
      <c r="G61" s="1">
        <f t="shared" si="10"/>
        <v>1</v>
      </c>
      <c r="H61" s="1">
        <f t="shared" si="10"/>
        <v>1</v>
      </c>
      <c r="I61" s="1">
        <f t="shared" si="10"/>
        <v>1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1</v>
      </c>
      <c r="P61" s="1">
        <f t="shared" si="10"/>
        <v>0</v>
      </c>
      <c r="Q61" s="1">
        <f t="shared" si="10"/>
        <v>1</v>
      </c>
      <c r="R61" s="1">
        <f t="shared" si="10"/>
        <v>0</v>
      </c>
      <c r="S61" s="1">
        <f t="shared" si="10"/>
        <v>1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1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2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6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count="5">
    <dataValidation type="list" allowBlank="1" showInputMessage="1" showErrorMessage="1" promptTitle="守備位置" prompt="守備位置を選択してください" sqref="B10:B29" xr:uid="{26EB3F5F-FE7B-4177-9C01-4AE869332BDC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EEFD4C21-16B2-4E29-8F25-544E51547809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13EF1A89-5B8D-4BE2-9EA8-6058252EC384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6B29FF2C-450B-491A-8CDF-5C5DA0357B2A}">
      <formula1>45017</formula1>
      <formula2>45747</formula2>
    </dataValidation>
    <dataValidation type="list" allowBlank="1" showInputMessage="1" showErrorMessage="1" promptTitle="勝敗" prompt="勝敗を選択してください" sqref="C4:C6" xr:uid="{24668C4E-B708-412F-87F3-88A7C2439FC9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選手名" prompt="選手目を選択してください" xr:uid="{62B65D77-A25A-4888-A0A7-D45718EABA2D}">
          <x14:formula1>
            <xm:f>データ!$A:$A</xm:f>
          </x14:formula1>
          <xm:sqref>D41:D70</xm:sqref>
        </x14:dataValidation>
        <x14:dataValidation type="list" allowBlank="1" showInputMessage="1" showErrorMessage="1" promptTitle="後攻" prompt="後攻チームを選択してください" xr:uid="{6059E7D0-686D-480A-8EB8-77EA8163BF8A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40651454-AEB6-4BFD-9C65-12D1434DAD1E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C8B0868D-DC31-46BA-B20D-726DE7FA9378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EC9A52DB-87D8-41A2-8217-9F3EF5F81F0B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6A304CB7-FD3A-4594-9B02-FA8DF85E330F}">
          <x14:formula1>
            <xm:f>データ!$E:$E</xm:f>
          </x14:formula1>
          <xm:sqref>E2:O2</xm:sqref>
        </x14:dataValidation>
        <x14:dataValidation type="list" allowBlank="1" showInputMessage="1" showErrorMessage="1" promptTitle="選手名" prompt="選手名を選択してください" xr:uid="{B823C2D7-69EB-4C38-A99A-3D4C09A3FA6D}">
          <x14:formula1>
            <xm:f>データ!$A:$A</xm:f>
          </x14:formula1>
          <xm:sqref>D10:D29 AC10:AC29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8867B-547E-4BCB-89E8-691C365C3EC2}">
  <sheetPr codeName="Sheet14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45415</v>
      </c>
      <c r="B2" s="96"/>
      <c r="C2" s="96"/>
      <c r="D2" s="96"/>
      <c r="E2" s="95" t="s">
        <v>185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87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0.45833333333333331</v>
      </c>
      <c r="AD2" s="17" t="s">
        <v>46</v>
      </c>
      <c r="AE2" s="92">
        <v>0.54166666666666663</v>
      </c>
      <c r="AF2" s="93"/>
      <c r="AG2" s="94"/>
      <c r="AH2" s="89" t="s">
        <v>186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187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87</v>
      </c>
      <c r="E5" s="95"/>
      <c r="F5" s="95"/>
      <c r="G5" s="2">
        <v>0</v>
      </c>
      <c r="H5" s="2">
        <v>0</v>
      </c>
      <c r="I5" s="2">
        <v>0</v>
      </c>
      <c r="J5" s="2">
        <v>1</v>
      </c>
      <c r="K5" s="2">
        <v>0</v>
      </c>
      <c r="L5" s="2">
        <v>1</v>
      </c>
      <c r="M5" s="2">
        <v>0</v>
      </c>
      <c r="N5" s="2"/>
      <c r="O5" s="2"/>
      <c r="P5" s="2"/>
      <c r="Q5" s="2"/>
      <c r="R5" s="2"/>
      <c r="S5" s="2"/>
      <c r="T5" s="10">
        <f>SUM(G5:S5)</f>
        <v>2</v>
      </c>
      <c r="U5" s="10">
        <f>IF(D5="九州工業大学",G30,AT30)</f>
        <v>4</v>
      </c>
      <c r="V5" s="10">
        <f>IF(D5="九州工業大学",AA30,N30)</f>
        <v>3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1</v>
      </c>
      <c r="H6" s="2">
        <v>0</v>
      </c>
      <c r="I6" s="2">
        <v>0</v>
      </c>
      <c r="J6" s="2">
        <v>0</v>
      </c>
      <c r="K6" s="2">
        <v>1</v>
      </c>
      <c r="L6" s="2">
        <v>0</v>
      </c>
      <c r="M6" s="2">
        <v>0</v>
      </c>
      <c r="N6" s="2"/>
      <c r="O6" s="2"/>
      <c r="P6" s="2"/>
      <c r="Q6" s="2"/>
      <c r="R6" s="2"/>
      <c r="S6" s="2"/>
      <c r="T6" s="10">
        <f>SUM(G6:S6)</f>
        <v>2</v>
      </c>
      <c r="U6" s="10">
        <f>IF(D6="九州工業大学",G30,AT30)</f>
        <v>6</v>
      </c>
      <c r="V6" s="10">
        <f>IF(D6="九州工業大学",AA30,N30)</f>
        <v>2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1</v>
      </c>
      <c r="D10" s="7" t="s">
        <v>81</v>
      </c>
      <c r="E10" s="9">
        <v>4</v>
      </c>
      <c r="F10" s="10">
        <f>IF(D10="","",E10-R10-S10-W10-X10)</f>
        <v>4</v>
      </c>
      <c r="G10" s="10">
        <f>IF(D10="","",SUM(J10:M10))</f>
        <v>2</v>
      </c>
      <c r="H10" s="9">
        <v>1</v>
      </c>
      <c r="I10" s="9"/>
      <c r="J10" s="9">
        <v>2</v>
      </c>
      <c r="K10" s="9"/>
      <c r="L10" s="9"/>
      <c r="M10" s="9"/>
      <c r="N10" s="9"/>
      <c r="O10" s="9"/>
      <c r="P10" s="9">
        <v>1</v>
      </c>
      <c r="Q10" s="9"/>
      <c r="R10" s="9"/>
      <c r="S10" s="9"/>
      <c r="T10" s="9"/>
      <c r="U10" s="9"/>
      <c r="V10" s="9"/>
      <c r="W10" s="9"/>
      <c r="X10" s="9"/>
      <c r="Y10" s="9">
        <v>4</v>
      </c>
      <c r="Z10" s="9">
        <v>2</v>
      </c>
      <c r="AA10" s="9">
        <v>1</v>
      </c>
      <c r="AB10" s="10">
        <f>IF(AC10="","",VLOOKUP(AC10,データ!A:C,2,FALSE))</f>
        <v>33</v>
      </c>
      <c r="AC10" s="7" t="s">
        <v>65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7</v>
      </c>
      <c r="AK10" s="9"/>
      <c r="AL10" s="9">
        <v>117</v>
      </c>
      <c r="AM10" s="9">
        <v>2</v>
      </c>
      <c r="AN10" s="9">
        <v>1</v>
      </c>
      <c r="AO10" s="9">
        <v>33</v>
      </c>
      <c r="AP10" s="9">
        <v>2</v>
      </c>
      <c r="AQ10" s="9">
        <v>3</v>
      </c>
      <c r="AR10" s="9">
        <v>2</v>
      </c>
      <c r="AS10" s="9"/>
      <c r="AT10" s="9">
        <v>4</v>
      </c>
      <c r="AU10" s="9"/>
    </row>
    <row r="11" spans="1:47" x14ac:dyDescent="0.7">
      <c r="A11" s="2">
        <v>2</v>
      </c>
      <c r="B11" s="8" t="s">
        <v>109</v>
      </c>
      <c r="C11" s="10">
        <f>IF(D11="","",VLOOKUP(D11,データ!A:C,2,FALSE))</f>
        <v>23</v>
      </c>
      <c r="D11" s="7" t="s">
        <v>183</v>
      </c>
      <c r="E11" s="9">
        <v>4</v>
      </c>
      <c r="F11" s="10">
        <f t="shared" ref="F11:F29" si="0">IF(D11="","",E11-R11-S11-W11-X11)</f>
        <v>4</v>
      </c>
      <c r="G11" s="10">
        <f t="shared" ref="G11:G29" si="1">IF(D11="","",SUM(J11:M11))</f>
        <v>1</v>
      </c>
      <c r="H11" s="9">
        <v>1</v>
      </c>
      <c r="I11" s="9"/>
      <c r="J11" s="9">
        <v>1</v>
      </c>
      <c r="K11" s="9"/>
      <c r="L11" s="9"/>
      <c r="M11" s="9"/>
      <c r="N11" s="9">
        <v>1</v>
      </c>
      <c r="O11" s="9"/>
      <c r="P11" s="9">
        <v>1</v>
      </c>
      <c r="Q11" s="9"/>
      <c r="R11" s="9"/>
      <c r="S11" s="9"/>
      <c r="T11" s="9"/>
      <c r="U11" s="9"/>
      <c r="V11" s="9"/>
      <c r="W11" s="9"/>
      <c r="X11" s="9"/>
      <c r="Y11" s="9">
        <v>1</v>
      </c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104</v>
      </c>
      <c r="C12" s="10">
        <f>IF(D12="","",VLOOKUP(D12,データ!A:C,2,FALSE))</f>
        <v>53</v>
      </c>
      <c r="D12" s="7" t="s">
        <v>53</v>
      </c>
      <c r="E12" s="9">
        <v>4</v>
      </c>
      <c r="F12" s="10">
        <f t="shared" si="0"/>
        <v>4</v>
      </c>
      <c r="G12" s="10">
        <f t="shared" si="1"/>
        <v>1</v>
      </c>
      <c r="H12" s="9">
        <v>1</v>
      </c>
      <c r="I12" s="9">
        <v>1</v>
      </c>
      <c r="J12" s="9">
        <v>1</v>
      </c>
      <c r="K12" s="9"/>
      <c r="L12" s="9"/>
      <c r="M12" s="9"/>
      <c r="N12" s="9">
        <v>1</v>
      </c>
      <c r="O12" s="9">
        <v>1</v>
      </c>
      <c r="P12" s="9"/>
      <c r="Q12" s="9">
        <v>1</v>
      </c>
      <c r="R12" s="9"/>
      <c r="S12" s="9"/>
      <c r="T12" s="9"/>
      <c r="U12" s="9"/>
      <c r="V12" s="9"/>
      <c r="W12" s="9"/>
      <c r="X12" s="9"/>
      <c r="Y12" s="9">
        <v>1</v>
      </c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3</v>
      </c>
      <c r="D13" s="7" t="s">
        <v>73</v>
      </c>
      <c r="E13" s="9">
        <v>2</v>
      </c>
      <c r="F13" s="10">
        <f t="shared" si="0"/>
        <v>2</v>
      </c>
      <c r="G13" s="10">
        <f t="shared" si="1"/>
        <v>0</v>
      </c>
      <c r="H13" s="9">
        <v>1</v>
      </c>
      <c r="I13" s="9"/>
      <c r="J13" s="9"/>
      <c r="K13" s="9"/>
      <c r="L13" s="9"/>
      <c r="M13" s="9"/>
      <c r="N13" s="9"/>
      <c r="O13" s="9"/>
      <c r="P13" s="9"/>
      <c r="Q13" s="9">
        <v>2</v>
      </c>
      <c r="R13" s="9"/>
      <c r="S13" s="9"/>
      <c r="T13" s="9"/>
      <c r="U13" s="9"/>
      <c r="V13" s="9"/>
      <c r="W13" s="9"/>
      <c r="X13" s="9"/>
      <c r="Y13" s="9">
        <v>3</v>
      </c>
      <c r="Z13" s="9">
        <v>1</v>
      </c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105</v>
      </c>
      <c r="C14" s="10">
        <f>IF(D14="","",VLOOKUP(D14,データ!A:C,2,FALSE))</f>
        <v>12</v>
      </c>
      <c r="D14" s="7" t="s">
        <v>75</v>
      </c>
      <c r="E14" s="9">
        <v>2</v>
      </c>
      <c r="F14" s="10">
        <f t="shared" si="0"/>
        <v>2</v>
      </c>
      <c r="G14" s="10">
        <f t="shared" si="1"/>
        <v>0</v>
      </c>
      <c r="H14" s="9">
        <v>1</v>
      </c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>
        <v>2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107</v>
      </c>
      <c r="C15" s="10">
        <f>IF(D15="","",VLOOKUP(D15,データ!A:C,2,FALSE))</f>
        <v>99</v>
      </c>
      <c r="D15" s="7" t="s">
        <v>59</v>
      </c>
      <c r="E15" s="9">
        <v>2</v>
      </c>
      <c r="F15" s="10">
        <f t="shared" si="0"/>
        <v>2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>
        <v>1</v>
      </c>
      <c r="R15" s="9"/>
      <c r="S15" s="9"/>
      <c r="T15" s="9"/>
      <c r="U15" s="9"/>
      <c r="V15" s="9"/>
      <c r="W15" s="9"/>
      <c r="X15" s="9"/>
      <c r="Y15" s="9"/>
      <c r="Z15" s="9">
        <v>1</v>
      </c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101</v>
      </c>
      <c r="C16" s="10">
        <f>IF(D16="","",VLOOKUP(D16,データ!A:C,2,FALSE))</f>
        <v>33</v>
      </c>
      <c r="D16" s="7" t="s">
        <v>65</v>
      </c>
      <c r="E16" s="9">
        <v>3</v>
      </c>
      <c r="F16" s="10">
        <f t="shared" si="0"/>
        <v>3</v>
      </c>
      <c r="G16" s="10">
        <f t="shared" si="1"/>
        <v>0</v>
      </c>
      <c r="H16" s="9">
        <v>1</v>
      </c>
      <c r="I16" s="9"/>
      <c r="J16" s="9"/>
      <c r="K16" s="9"/>
      <c r="L16" s="9"/>
      <c r="M16" s="9"/>
      <c r="N16" s="9">
        <v>1</v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>
        <v>3</v>
      </c>
      <c r="Z16" s="9">
        <v>2</v>
      </c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108</v>
      </c>
      <c r="C17" s="10">
        <f>IF(D17="","",VLOOKUP(D17,データ!A:C,2,FALSE))</f>
        <v>50</v>
      </c>
      <c r="D17" s="7" t="s">
        <v>63</v>
      </c>
      <c r="E17" s="9">
        <v>3</v>
      </c>
      <c r="F17" s="10">
        <f t="shared" si="0"/>
        <v>3</v>
      </c>
      <c r="G17" s="10">
        <f t="shared" si="1"/>
        <v>1</v>
      </c>
      <c r="H17" s="9">
        <v>1</v>
      </c>
      <c r="I17" s="9"/>
      <c r="J17" s="9">
        <v>1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>
        <v>6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106</v>
      </c>
      <c r="C18" s="10">
        <f>IF(D18="","",VLOOKUP(D18,データ!A:C,2,FALSE))</f>
        <v>21</v>
      </c>
      <c r="D18" s="7" t="s">
        <v>184</v>
      </c>
      <c r="E18" s="9">
        <v>3</v>
      </c>
      <c r="F18" s="10">
        <f t="shared" si="0"/>
        <v>3</v>
      </c>
      <c r="G18" s="10">
        <f t="shared" si="1"/>
        <v>1</v>
      </c>
      <c r="H18" s="9"/>
      <c r="I18" s="9"/>
      <c r="J18" s="9">
        <v>1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>
        <v>2</v>
      </c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108</v>
      </c>
      <c r="C19" s="10">
        <f>IF(D19="","",VLOOKUP(D19,データ!A:C,2,FALSE))</f>
        <v>47</v>
      </c>
      <c r="D19" s="7" t="s">
        <v>54</v>
      </c>
      <c r="E19" s="9">
        <v>2</v>
      </c>
      <c r="F19" s="10">
        <f t="shared" si="0"/>
        <v>2</v>
      </c>
      <c r="G19" s="10">
        <f t="shared" si="1"/>
        <v>0</v>
      </c>
      <c r="H19" s="9">
        <v>1</v>
      </c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>
        <v>1</v>
      </c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105</v>
      </c>
      <c r="C20" s="10">
        <f>IF(D20="","",VLOOKUP(D20,データ!A:C,2,FALSE))</f>
        <v>46</v>
      </c>
      <c r="D20" s="7" t="s">
        <v>181</v>
      </c>
      <c r="E20" s="9">
        <v>2</v>
      </c>
      <c r="F20" s="10">
        <f t="shared" si="0"/>
        <v>0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>
        <v>2</v>
      </c>
      <c r="S20" s="9"/>
      <c r="T20" s="9"/>
      <c r="U20" s="9"/>
      <c r="V20" s="9"/>
      <c r="W20" s="9"/>
      <c r="X20" s="9"/>
      <c r="Y20" s="9">
        <v>1</v>
      </c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107</v>
      </c>
      <c r="C21" s="10">
        <f>IF(D21="","",VLOOKUP(D21,データ!A:C,2,FALSE))</f>
        <v>51</v>
      </c>
      <c r="D21" s="7" t="s">
        <v>61</v>
      </c>
      <c r="E21" s="9">
        <v>2</v>
      </c>
      <c r="F21" s="10">
        <f t="shared" si="0"/>
        <v>1</v>
      </c>
      <c r="G21" s="10">
        <f t="shared" si="1"/>
        <v>0</v>
      </c>
      <c r="H21" s="9"/>
      <c r="I21" s="9"/>
      <c r="J21" s="9"/>
      <c r="K21" s="9"/>
      <c r="L21" s="9"/>
      <c r="M21" s="9"/>
      <c r="N21" s="9"/>
      <c r="O21" s="9">
        <v>1</v>
      </c>
      <c r="P21" s="9"/>
      <c r="Q21" s="9">
        <v>1</v>
      </c>
      <c r="R21" s="9">
        <v>1</v>
      </c>
      <c r="S21" s="9"/>
      <c r="T21" s="9"/>
      <c r="U21" s="9"/>
      <c r="V21" s="9"/>
      <c r="W21" s="9"/>
      <c r="X21" s="9"/>
      <c r="Y21" s="9"/>
      <c r="Z21" s="9">
        <v>2</v>
      </c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33</v>
      </c>
      <c r="F30" s="1">
        <f t="shared" si="3"/>
        <v>30</v>
      </c>
      <c r="G30" s="1">
        <f t="shared" si="3"/>
        <v>6</v>
      </c>
      <c r="H30" s="1">
        <f t="shared" si="3"/>
        <v>9</v>
      </c>
      <c r="I30" s="1">
        <f t="shared" si="3"/>
        <v>1</v>
      </c>
      <c r="J30" s="1">
        <f t="shared" si="3"/>
        <v>6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3</v>
      </c>
      <c r="O30" s="1">
        <f t="shared" si="3"/>
        <v>2</v>
      </c>
      <c r="P30" s="1">
        <f t="shared" si="3"/>
        <v>2</v>
      </c>
      <c r="Q30" s="1">
        <f t="shared" si="3"/>
        <v>5</v>
      </c>
      <c r="R30" s="1">
        <f t="shared" si="3"/>
        <v>3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10</v>
      </c>
      <c r="AA30" s="1">
        <f t="shared" si="3"/>
        <v>2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117</v>
      </c>
      <c r="AM30" s="1">
        <f t="shared" si="4"/>
        <v>2</v>
      </c>
      <c r="AN30" s="1">
        <f t="shared" si="4"/>
        <v>1</v>
      </c>
      <c r="AO30" s="1">
        <f t="shared" si="4"/>
        <v>33</v>
      </c>
      <c r="AP30" s="1">
        <f t="shared" si="4"/>
        <v>2</v>
      </c>
      <c r="AQ30" s="1">
        <f t="shared" si="4"/>
        <v>3</v>
      </c>
      <c r="AR30" s="1">
        <f>SUM(AR10:AR29)</f>
        <v>2</v>
      </c>
      <c r="AS30" s="1">
        <f>SUM(AS10:AS29)</f>
        <v>0</v>
      </c>
      <c r="AT30" s="1">
        <f>SUM(AT10:AT29)</f>
        <v>4</v>
      </c>
      <c r="AU30" s="1">
        <f t="shared" si="4"/>
        <v>0</v>
      </c>
    </row>
    <row r="31" spans="1:47" ht="14.25" x14ac:dyDescent="0.7">
      <c r="D31" s="1">
        <f>G30/F30</f>
        <v>0.2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4</v>
      </c>
      <c r="F41" s="1">
        <f t="shared" si="5"/>
        <v>4</v>
      </c>
      <c r="G41" s="1">
        <f t="shared" si="5"/>
        <v>2</v>
      </c>
      <c r="H41" s="1">
        <f t="shared" si="5"/>
        <v>1</v>
      </c>
      <c r="I41" s="1">
        <f t="shared" si="5"/>
        <v>0</v>
      </c>
      <c r="J41" s="1">
        <f t="shared" si="5"/>
        <v>2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1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4</v>
      </c>
      <c r="Z41" s="1">
        <f t="shared" si="6"/>
        <v>2</v>
      </c>
      <c r="AA41" s="1">
        <f t="shared" si="6"/>
        <v>1</v>
      </c>
      <c r="AD41" s="1">
        <f t="shared" ref="AD41:AS56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si="7"/>
        <v>0</v>
      </c>
      <c r="AO41" s="1">
        <f t="shared" si="7"/>
        <v>0</v>
      </c>
      <c r="AP41" s="1">
        <f t="shared" si="7"/>
        <v>0</v>
      </c>
      <c r="AQ41" s="1">
        <f t="shared" si="7"/>
        <v>0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2</v>
      </c>
      <c r="F42" s="1">
        <f t="shared" si="5"/>
        <v>2</v>
      </c>
      <c r="G42" s="1">
        <f t="shared" si="5"/>
        <v>0</v>
      </c>
      <c r="H42" s="1">
        <f t="shared" si="5"/>
        <v>1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2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3</v>
      </c>
      <c r="Z42" s="1">
        <f t="shared" si="6"/>
        <v>1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0</v>
      </c>
      <c r="F43" s="1">
        <f t="shared" si="5"/>
        <v>0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2</v>
      </c>
      <c r="F48" s="1">
        <f t="shared" si="5"/>
        <v>2</v>
      </c>
      <c r="G48" s="1">
        <f t="shared" si="5"/>
        <v>0</v>
      </c>
      <c r="H48" s="1">
        <f t="shared" si="5"/>
        <v>1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2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3</v>
      </c>
      <c r="F52" s="1">
        <f t="shared" si="5"/>
        <v>3</v>
      </c>
      <c r="G52" s="1">
        <f t="shared" si="5"/>
        <v>1</v>
      </c>
      <c r="H52" s="1">
        <f t="shared" si="5"/>
        <v>0</v>
      </c>
      <c r="I52" s="1">
        <f t="shared" si="5"/>
        <v>0</v>
      </c>
      <c r="J52" s="1">
        <f t="shared" si="5"/>
        <v>1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2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4</v>
      </c>
      <c r="F53" s="1">
        <f t="shared" si="5"/>
        <v>4</v>
      </c>
      <c r="G53" s="1">
        <f t="shared" si="5"/>
        <v>1</v>
      </c>
      <c r="H53" s="1">
        <f t="shared" si="5"/>
        <v>1</v>
      </c>
      <c r="I53" s="1">
        <f t="shared" si="5"/>
        <v>0</v>
      </c>
      <c r="J53" s="1">
        <f t="shared" si="5"/>
        <v>1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1</v>
      </c>
      <c r="O53" s="1">
        <f t="shared" si="5"/>
        <v>0</v>
      </c>
      <c r="P53" s="1">
        <f t="shared" si="5"/>
        <v>1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1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0</v>
      </c>
      <c r="H56" s="1">
        <f t="shared" si="5"/>
        <v>1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1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3</v>
      </c>
      <c r="Z56" s="1">
        <f t="shared" si="6"/>
        <v>2</v>
      </c>
      <c r="AA56" s="1">
        <f t="shared" si="6"/>
        <v>0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7</v>
      </c>
      <c r="AK56" s="1">
        <f t="shared" si="7"/>
        <v>0</v>
      </c>
      <c r="AL56" s="1">
        <f t="shared" si="7"/>
        <v>117</v>
      </c>
      <c r="AM56" s="1">
        <f t="shared" si="7"/>
        <v>2</v>
      </c>
      <c r="AN56" s="1">
        <f t="shared" si="7"/>
        <v>1</v>
      </c>
      <c r="AO56" s="1">
        <f t="shared" si="7"/>
        <v>33</v>
      </c>
      <c r="AP56" s="1">
        <f t="shared" si="7"/>
        <v>2</v>
      </c>
      <c r="AQ56" s="1">
        <f t="shared" si="7"/>
        <v>3</v>
      </c>
      <c r="AR56" s="1">
        <f t="shared" si="7"/>
        <v>2</v>
      </c>
      <c r="AS56" s="1">
        <f t="shared" si="7"/>
        <v>0</v>
      </c>
      <c r="AT56" s="1">
        <f t="shared" si="8"/>
        <v>4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2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2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1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2</v>
      </c>
      <c r="F58" s="1">
        <f t="shared" si="10"/>
        <v>2</v>
      </c>
      <c r="G58" s="1">
        <f t="shared" si="10"/>
        <v>0</v>
      </c>
      <c r="H58" s="1">
        <f t="shared" si="10"/>
        <v>1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1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3</v>
      </c>
      <c r="F59" s="1">
        <f t="shared" si="10"/>
        <v>3</v>
      </c>
      <c r="G59" s="1">
        <f t="shared" si="10"/>
        <v>1</v>
      </c>
      <c r="H59" s="1">
        <f t="shared" si="10"/>
        <v>1</v>
      </c>
      <c r="I59" s="1">
        <f t="shared" si="10"/>
        <v>0</v>
      </c>
      <c r="J59" s="1">
        <f t="shared" si="10"/>
        <v>1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6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2</v>
      </c>
      <c r="F60" s="1">
        <f t="shared" si="10"/>
        <v>1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1</v>
      </c>
      <c r="P60" s="1">
        <f t="shared" si="10"/>
        <v>0</v>
      </c>
      <c r="Q60" s="1">
        <f t="shared" si="10"/>
        <v>1</v>
      </c>
      <c r="R60" s="1">
        <f t="shared" si="10"/>
        <v>1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2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4</v>
      </c>
      <c r="F61" s="1">
        <f t="shared" si="10"/>
        <v>4</v>
      </c>
      <c r="G61" s="1">
        <f t="shared" si="10"/>
        <v>1</v>
      </c>
      <c r="H61" s="1">
        <f t="shared" si="10"/>
        <v>1</v>
      </c>
      <c r="I61" s="1">
        <f t="shared" si="10"/>
        <v>1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1</v>
      </c>
      <c r="O61" s="1">
        <f t="shared" si="10"/>
        <v>1</v>
      </c>
      <c r="P61" s="1">
        <f t="shared" si="10"/>
        <v>0</v>
      </c>
      <c r="Q61" s="1">
        <f t="shared" si="10"/>
        <v>1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2</v>
      </c>
      <c r="F63" s="1">
        <f t="shared" si="10"/>
        <v>2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0</v>
      </c>
      <c r="Z63" s="1">
        <f t="shared" si="11"/>
        <v>1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C4:C6"/>
    <mergeCell ref="D4:F4"/>
    <mergeCell ref="D5:F5"/>
    <mergeCell ref="D6:F6"/>
    <mergeCell ref="A8:AA8"/>
    <mergeCell ref="AB8:AU8"/>
    <mergeCell ref="A1:D1"/>
    <mergeCell ref="E1:O1"/>
    <mergeCell ref="P1:AB1"/>
    <mergeCell ref="AC1:AG1"/>
    <mergeCell ref="AH1:AU1"/>
    <mergeCell ref="A2:D2"/>
    <mergeCell ref="E2:O2"/>
    <mergeCell ref="P2:AB2"/>
    <mergeCell ref="AE2:AG2"/>
    <mergeCell ref="AH2:AU2"/>
  </mergeCells>
  <phoneticPr fontId="2"/>
  <dataValidations xWindow="226" yWindow="868" count="5">
    <dataValidation type="list" allowBlank="1" showInputMessage="1" showErrorMessage="1" promptTitle="勝敗" prompt="勝敗を選択してください" sqref="C4:C6" xr:uid="{29AF588E-9102-4E7C-AE7F-33F57E96367B}">
      <formula1>"○,●,△"</formula1>
    </dataValidation>
    <dataValidation type="date" allowBlank="1" showInputMessage="1" showErrorMessage="1" promptTitle="日付入力" prompt="日付を入力してください" sqref="A2:D2" xr:uid="{355F2BEE-FA60-4190-8583-6A6F31C38271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1B659E69-BE38-4AFC-A1FE-4E2EBE29F608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BE9BDFD5-13A8-4830-826E-83DED28C6B1F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460C9A54-E38D-4138-81A8-3D044A64EEB8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xWindow="226" yWindow="868" count="7">
        <x14:dataValidation type="list" allowBlank="1" showInputMessage="1" showErrorMessage="1" promptTitle="選手名" prompt="選手名を選択してください" xr:uid="{9A2A9722-16DB-4780-B2C6-CC1FBB044ED1}">
          <x14:formula1>
            <xm:f>データ!$A:$A</xm:f>
          </x14:formula1>
          <xm:sqref>D10:D29 AC10:AC29</xm:sqref>
        </x14:dataValidation>
        <x14:dataValidation type="list" allowBlank="1" showInputMessage="1" showErrorMessage="1" promptTitle="大会名" prompt="大会名を選択してください" xr:uid="{CE51CEC5-C01A-44F6-8E49-2685F57E7C29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BB0174B9-5D79-40B0-8A5D-4255749E080A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01F79E65-59F1-420E-884A-7B9B2F59C4B7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EE3D0BD0-9983-4DB9-8982-67A6C576DC1F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ACC28204-5F5C-4F75-A1A9-A268310A02A3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7963EC16-8147-4F57-8E05-A508A97749F2}">
          <x14:formula1>
            <xm:f>データ!$A:$A</xm:f>
          </x14:formula1>
          <xm:sqref>D41:D70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1BF30-6868-054C-A6DA-D7884E2EE2DD}">
  <sheetPr codeName="Sheet16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45402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85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85</v>
      </c>
      <c r="E5" s="95"/>
      <c r="F5" s="95"/>
      <c r="G5" s="2">
        <v>3</v>
      </c>
      <c r="H5" s="2">
        <v>0</v>
      </c>
      <c r="I5" s="2">
        <v>1</v>
      </c>
      <c r="J5" s="2">
        <v>0</v>
      </c>
      <c r="K5" s="2">
        <v>4</v>
      </c>
      <c r="L5" s="2"/>
      <c r="M5" s="2"/>
      <c r="N5" s="2"/>
      <c r="O5" s="2"/>
      <c r="P5" s="2"/>
      <c r="Q5" s="2"/>
      <c r="R5" s="2"/>
      <c r="S5" s="2"/>
      <c r="T5" s="10">
        <f>SUM(G5:S5)</f>
        <v>8</v>
      </c>
      <c r="U5" s="10">
        <f>IF(D5="九州工業大学",G30,AT30)</f>
        <v>4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/>
      <c r="M6" s="2"/>
      <c r="N6" s="2"/>
      <c r="O6" s="2"/>
      <c r="P6" s="2"/>
      <c r="Q6" s="2"/>
      <c r="R6" s="2"/>
      <c r="S6" s="2"/>
      <c r="T6" s="10">
        <f>SUM(G6:S6)</f>
        <v>0</v>
      </c>
      <c r="U6" s="10">
        <f>IF(D6="九州工業大学",G30,AT30)</f>
        <v>0</v>
      </c>
      <c r="V6" s="10">
        <f>IF(D6="九州工業大学",AA30,N30)</f>
        <v>3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111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107</v>
      </c>
      <c r="C10" s="10">
        <f>IF(D10="","",VLOOKUP(D10,データ!A:C,2,FALSE))</f>
        <v>51</v>
      </c>
      <c r="D10" s="7" t="s">
        <v>61</v>
      </c>
      <c r="E10" s="9">
        <v>1</v>
      </c>
      <c r="F10" s="10">
        <f>IF(D10="","",E10-R10-S10-W10-X10)</f>
        <v>1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10">
        <f>IF(AC10="","",VLOOKUP(AC10,データ!A:C,2,FALSE))</f>
        <v>1</v>
      </c>
      <c r="AC10" s="7" t="s">
        <v>81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5</v>
      </c>
      <c r="AK10" s="9"/>
      <c r="AL10" s="9">
        <v>89</v>
      </c>
      <c r="AM10" s="9">
        <v>8</v>
      </c>
      <c r="AN10" s="9">
        <v>4</v>
      </c>
      <c r="AO10" s="9">
        <v>28</v>
      </c>
      <c r="AP10" s="9">
        <v>1</v>
      </c>
      <c r="AQ10" s="9">
        <v>4</v>
      </c>
      <c r="AR10" s="9">
        <v>2</v>
      </c>
      <c r="AS10" s="9"/>
      <c r="AT10" s="9">
        <v>4</v>
      </c>
      <c r="AU10" s="9"/>
    </row>
    <row r="11" spans="1:47" x14ac:dyDescent="0.7">
      <c r="A11" s="2">
        <v>2</v>
      </c>
      <c r="B11" s="8" t="s">
        <v>99</v>
      </c>
      <c r="C11" s="10">
        <f>IF(D11="","",VLOOKUP(D11,データ!A:C,2,FALSE))</f>
        <v>33</v>
      </c>
      <c r="D11" s="7" t="s">
        <v>65</v>
      </c>
      <c r="E11" s="9">
        <v>3</v>
      </c>
      <c r="F11" s="10">
        <f t="shared" ref="F11:F29" si="0">IF(D11="","",E11-R11-S11-W11-X11)</f>
        <v>3</v>
      </c>
      <c r="G11" s="10">
        <f t="shared" ref="G11:G29" si="1">IF(D11="","",SUM(J11:M11))</f>
        <v>0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>
        <v>1</v>
      </c>
      <c r="Z11" s="9"/>
      <c r="AA11" s="9">
        <v>1</v>
      </c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104</v>
      </c>
      <c r="C12" s="10">
        <f>IF(D12="","",VLOOKUP(D12,データ!A:C,2,FALSE))</f>
        <v>53</v>
      </c>
      <c r="D12" s="7" t="s">
        <v>53</v>
      </c>
      <c r="E12" s="9">
        <v>2</v>
      </c>
      <c r="F12" s="10">
        <f t="shared" si="0"/>
        <v>2</v>
      </c>
      <c r="G12" s="10">
        <f t="shared" si="1"/>
        <v>0</v>
      </c>
      <c r="H12" s="9"/>
      <c r="I12" s="9"/>
      <c r="J12" s="9"/>
      <c r="K12" s="9"/>
      <c r="L12" s="9"/>
      <c r="M12" s="9"/>
      <c r="N12" s="9"/>
      <c r="O12" s="9"/>
      <c r="P12" s="9"/>
      <c r="Q12" s="9">
        <v>2</v>
      </c>
      <c r="R12" s="9"/>
      <c r="S12" s="9"/>
      <c r="T12" s="9"/>
      <c r="U12" s="9"/>
      <c r="V12" s="9"/>
      <c r="W12" s="9"/>
      <c r="X12" s="9"/>
      <c r="Y12" s="9"/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12</v>
      </c>
      <c r="D13" s="7" t="s">
        <v>75</v>
      </c>
      <c r="E13" s="9">
        <v>2</v>
      </c>
      <c r="F13" s="10">
        <f t="shared" si="0"/>
        <v>2</v>
      </c>
      <c r="G13" s="10">
        <f t="shared" si="1"/>
        <v>0</v>
      </c>
      <c r="H13" s="9"/>
      <c r="I13" s="9"/>
      <c r="J13" s="9"/>
      <c r="K13" s="9"/>
      <c r="L13" s="9"/>
      <c r="M13" s="9"/>
      <c r="N13" s="9">
        <v>1</v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>
        <v>1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101</v>
      </c>
      <c r="C14" s="10">
        <f>IF(D14="","",VLOOKUP(D14,データ!A:C,2,FALSE))</f>
        <v>1</v>
      </c>
      <c r="D14" s="7" t="s">
        <v>81</v>
      </c>
      <c r="E14" s="9">
        <v>2</v>
      </c>
      <c r="F14" s="10">
        <f t="shared" si="0"/>
        <v>1</v>
      </c>
      <c r="G14" s="10">
        <f t="shared" si="1"/>
        <v>0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>
        <v>1</v>
      </c>
      <c r="S14" s="9"/>
      <c r="T14" s="9"/>
      <c r="U14" s="9"/>
      <c r="V14" s="9"/>
      <c r="W14" s="9"/>
      <c r="X14" s="9"/>
      <c r="Y14" s="9">
        <v>2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109</v>
      </c>
      <c r="C15" s="10">
        <f>IF(D15="","",VLOOKUP(D15,データ!A:C,2,FALSE))</f>
        <v>99</v>
      </c>
      <c r="D15" s="7" t="s">
        <v>59</v>
      </c>
      <c r="E15" s="9">
        <v>2</v>
      </c>
      <c r="F15" s="10">
        <f t="shared" si="0"/>
        <v>1</v>
      </c>
      <c r="G15" s="10">
        <f t="shared" si="1"/>
        <v>0</v>
      </c>
      <c r="H15" s="9">
        <v>1</v>
      </c>
      <c r="I15" s="9"/>
      <c r="J15" s="9"/>
      <c r="K15" s="9"/>
      <c r="L15" s="9"/>
      <c r="M15" s="9"/>
      <c r="N15" s="9"/>
      <c r="O15" s="9"/>
      <c r="P15" s="9"/>
      <c r="Q15" s="9"/>
      <c r="R15" s="9">
        <v>1</v>
      </c>
      <c r="S15" s="9"/>
      <c r="T15" s="9"/>
      <c r="U15" s="9"/>
      <c r="V15" s="9"/>
      <c r="W15" s="9"/>
      <c r="X15" s="9"/>
      <c r="Y15" s="9">
        <v>2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106</v>
      </c>
      <c r="C16" s="10">
        <f>IF(D16="","",VLOOKUP(D16,データ!A:C,2,FALSE))</f>
        <v>25</v>
      </c>
      <c r="D16" s="7" t="s">
        <v>83</v>
      </c>
      <c r="E16" s="9">
        <v>2</v>
      </c>
      <c r="F16" s="10">
        <f t="shared" si="0"/>
        <v>1</v>
      </c>
      <c r="G16" s="10">
        <f t="shared" si="1"/>
        <v>0</v>
      </c>
      <c r="H16" s="9">
        <v>1</v>
      </c>
      <c r="I16" s="9"/>
      <c r="J16" s="9"/>
      <c r="K16" s="9"/>
      <c r="L16" s="9"/>
      <c r="M16" s="9"/>
      <c r="N16" s="9"/>
      <c r="O16" s="9"/>
      <c r="P16" s="9"/>
      <c r="Q16" s="9"/>
      <c r="R16" s="9">
        <v>1</v>
      </c>
      <c r="S16" s="9"/>
      <c r="T16" s="9"/>
      <c r="U16" s="9"/>
      <c r="V16" s="9"/>
      <c r="W16" s="9"/>
      <c r="X16" s="9"/>
      <c r="Y16" s="9"/>
      <c r="Z16" s="9">
        <v>4</v>
      </c>
      <c r="AA16" s="9">
        <v>1</v>
      </c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103</v>
      </c>
      <c r="C17" s="10">
        <f>IF(D17="","",VLOOKUP(D17,データ!A:C,2,FALSE))</f>
        <v>50</v>
      </c>
      <c r="D17" s="7" t="s">
        <v>63</v>
      </c>
      <c r="E17" s="9">
        <v>2</v>
      </c>
      <c r="F17" s="10">
        <f t="shared" si="0"/>
        <v>1</v>
      </c>
      <c r="G17" s="10">
        <f t="shared" si="1"/>
        <v>0</v>
      </c>
      <c r="H17" s="9">
        <v>1</v>
      </c>
      <c r="I17" s="9"/>
      <c r="J17" s="9"/>
      <c r="K17" s="9"/>
      <c r="L17" s="9"/>
      <c r="M17" s="9"/>
      <c r="N17" s="9"/>
      <c r="O17" s="9"/>
      <c r="P17" s="9"/>
      <c r="Q17" s="9"/>
      <c r="R17" s="9">
        <v>1</v>
      </c>
      <c r="S17" s="9"/>
      <c r="T17" s="9"/>
      <c r="U17" s="9"/>
      <c r="V17" s="9"/>
      <c r="W17" s="9"/>
      <c r="X17" s="9"/>
      <c r="Y17" s="9">
        <v>4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108</v>
      </c>
      <c r="C18" s="10">
        <f>IF(D18="","",VLOOKUP(D18,データ!A:C,2,FALSE))</f>
        <v>5</v>
      </c>
      <c r="D18" s="7" t="s">
        <v>57</v>
      </c>
      <c r="E18" s="9">
        <v>2</v>
      </c>
      <c r="F18" s="10">
        <f t="shared" si="0"/>
        <v>2</v>
      </c>
      <c r="G18" s="10">
        <f t="shared" si="1"/>
        <v>0</v>
      </c>
      <c r="H18" s="9">
        <v>1</v>
      </c>
      <c r="I18" s="9"/>
      <c r="J18" s="9"/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>
        <v>3</v>
      </c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100</v>
      </c>
      <c r="C19" s="10">
        <f>IF(D19="","",VLOOKUP(D19,データ!A:C,2,FALSE))</f>
        <v>47</v>
      </c>
      <c r="D19" s="7" t="s">
        <v>54</v>
      </c>
      <c r="E19" s="9">
        <v>1</v>
      </c>
      <c r="F19" s="10">
        <f t="shared" si="0"/>
        <v>1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>
        <v>1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108</v>
      </c>
      <c r="C20" s="10">
        <f>IF(D20="","",VLOOKUP(D20,データ!A:C,2,FALSE))</f>
        <v>3</v>
      </c>
      <c r="D20" s="7" t="s">
        <v>73</v>
      </c>
      <c r="E20" s="9">
        <v>1</v>
      </c>
      <c r="F20" s="10">
        <f t="shared" si="0"/>
        <v>1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>
        <v>1</v>
      </c>
      <c r="Z20" s="9"/>
      <c r="AA20" s="9">
        <v>1</v>
      </c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105</v>
      </c>
      <c r="C21" s="10">
        <f>IF(D21="","",VLOOKUP(D21,データ!A:C,2,FALSE))</f>
        <v>46</v>
      </c>
      <c r="D21" s="7" t="s">
        <v>181</v>
      </c>
      <c r="E21" s="9"/>
      <c r="F21" s="10">
        <f t="shared" si="0"/>
        <v>0</v>
      </c>
      <c r="G21" s="10">
        <f t="shared" si="1"/>
        <v>0</v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>
        <v>1</v>
      </c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20</v>
      </c>
      <c r="F30" s="1">
        <f t="shared" si="3"/>
        <v>16</v>
      </c>
      <c r="G30" s="1">
        <f t="shared" si="3"/>
        <v>0</v>
      </c>
      <c r="H30" s="1">
        <f t="shared" si="3"/>
        <v>4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1</v>
      </c>
      <c r="O30" s="1">
        <f t="shared" si="3"/>
        <v>0</v>
      </c>
      <c r="P30" s="1">
        <f t="shared" si="3"/>
        <v>0</v>
      </c>
      <c r="Q30" s="1">
        <f t="shared" si="3"/>
        <v>5</v>
      </c>
      <c r="R30" s="1">
        <f t="shared" si="3"/>
        <v>4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15</v>
      </c>
      <c r="Z30" s="1">
        <f t="shared" si="3"/>
        <v>4</v>
      </c>
      <c r="AA30" s="1">
        <f t="shared" si="3"/>
        <v>3</v>
      </c>
      <c r="AJ30" s="1">
        <f t="shared" ref="AJ30:AU30" si="4">SUM(AJ10:AJ29)</f>
        <v>5</v>
      </c>
      <c r="AK30" s="1">
        <f t="shared" si="4"/>
        <v>0</v>
      </c>
      <c r="AL30" s="1">
        <f t="shared" si="4"/>
        <v>89</v>
      </c>
      <c r="AM30" s="1">
        <f t="shared" si="4"/>
        <v>8</v>
      </c>
      <c r="AN30" s="1">
        <f t="shared" si="4"/>
        <v>4</v>
      </c>
      <c r="AO30" s="1">
        <f t="shared" si="4"/>
        <v>28</v>
      </c>
      <c r="AP30" s="1">
        <f t="shared" si="4"/>
        <v>1</v>
      </c>
      <c r="AQ30" s="1">
        <f t="shared" si="4"/>
        <v>4</v>
      </c>
      <c r="AR30" s="1">
        <f>SUM(AR10:AR29)</f>
        <v>2</v>
      </c>
      <c r="AS30" s="1">
        <f>SUM(AS10:AS29)</f>
        <v>0</v>
      </c>
      <c r="AT30" s="1">
        <f>SUM(AT10:AT29)</f>
        <v>4</v>
      </c>
      <c r="AU30" s="1">
        <f t="shared" si="4"/>
        <v>0</v>
      </c>
    </row>
    <row r="31" spans="1:47" ht="14.25" x14ac:dyDescent="0.7">
      <c r="D31" s="1">
        <f>G30/F30</f>
        <v>0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2</v>
      </c>
      <c r="F41" s="1">
        <f t="shared" si="5"/>
        <v>1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1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2</v>
      </c>
      <c r="Z41" s="1">
        <f t="shared" si="6"/>
        <v>0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5</v>
      </c>
      <c r="AK41" s="1">
        <f t="shared" si="7"/>
        <v>0</v>
      </c>
      <c r="AL41" s="1">
        <f t="shared" si="7"/>
        <v>89</v>
      </c>
      <c r="AM41" s="1">
        <f t="shared" si="7"/>
        <v>8</v>
      </c>
      <c r="AN41" s="1">
        <f t="shared" si="7"/>
        <v>4</v>
      </c>
      <c r="AO41" s="1">
        <f t="shared" si="7"/>
        <v>28</v>
      </c>
      <c r="AP41" s="1">
        <f t="shared" si="7"/>
        <v>1</v>
      </c>
      <c r="AQ41" s="1">
        <f t="shared" si="7"/>
        <v>4</v>
      </c>
      <c r="AR41" s="1">
        <f t="shared" si="7"/>
        <v>2</v>
      </c>
      <c r="AS41" s="1">
        <f t="shared" si="7"/>
        <v>0</v>
      </c>
      <c r="AT41" s="1">
        <f t="shared" ref="AN41:AU56" si="8">IFERROR(VLOOKUP($D41,$AC$10:$AU$29,AT$71,FALSE),0)</f>
        <v>4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1</v>
      </c>
      <c r="F42" s="1">
        <f t="shared" si="5"/>
        <v>1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1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1</v>
      </c>
      <c r="Z42" s="1">
        <f t="shared" si="6"/>
        <v>0</v>
      </c>
      <c r="AA42" s="1">
        <f t="shared" si="6"/>
        <v>1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2</v>
      </c>
      <c r="G43" s="1">
        <f t="shared" si="5"/>
        <v>0</v>
      </c>
      <c r="H43" s="1">
        <f t="shared" si="5"/>
        <v>1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1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3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2</v>
      </c>
      <c r="F48" s="1">
        <f t="shared" si="5"/>
        <v>2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1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1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0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2</v>
      </c>
      <c r="F54" s="1">
        <f t="shared" si="5"/>
        <v>1</v>
      </c>
      <c r="G54" s="1">
        <f t="shared" si="5"/>
        <v>0</v>
      </c>
      <c r="H54" s="1">
        <f t="shared" si="5"/>
        <v>1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1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4</v>
      </c>
      <c r="AA54" s="1">
        <f t="shared" si="6"/>
        <v>1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3</v>
      </c>
      <c r="F56" s="1">
        <f t="shared" si="5"/>
        <v>3</v>
      </c>
      <c r="G56" s="1">
        <f t="shared" si="5"/>
        <v>0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0</v>
      </c>
      <c r="AA56" s="1">
        <f t="shared" si="6"/>
        <v>1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1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1</v>
      </c>
      <c r="F58" s="1">
        <f t="shared" si="10"/>
        <v>1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1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2</v>
      </c>
      <c r="F59" s="1">
        <f t="shared" si="10"/>
        <v>1</v>
      </c>
      <c r="G59" s="1">
        <f t="shared" si="10"/>
        <v>0</v>
      </c>
      <c r="H59" s="1">
        <f t="shared" si="10"/>
        <v>1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1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4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1</v>
      </c>
      <c r="F60" s="1">
        <f t="shared" si="10"/>
        <v>1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2</v>
      </c>
      <c r="F61" s="1">
        <f t="shared" si="10"/>
        <v>2</v>
      </c>
      <c r="G61" s="1">
        <f t="shared" si="10"/>
        <v>0</v>
      </c>
      <c r="H61" s="1">
        <f t="shared" si="10"/>
        <v>0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2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2</v>
      </c>
      <c r="F63" s="1">
        <f t="shared" si="10"/>
        <v>1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1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2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2:D2"/>
    <mergeCell ref="E2:O2"/>
    <mergeCell ref="P2:AB2"/>
    <mergeCell ref="AE2:AG2"/>
    <mergeCell ref="AH2:AU2"/>
    <mergeCell ref="A1:D1"/>
    <mergeCell ref="E1:O1"/>
    <mergeCell ref="P1:AB1"/>
    <mergeCell ref="AC1:AG1"/>
    <mergeCell ref="AH1:AU1"/>
    <mergeCell ref="AJ9:AK9"/>
    <mergeCell ref="C4:C6"/>
    <mergeCell ref="D4:F4"/>
    <mergeCell ref="D5:F5"/>
    <mergeCell ref="D6:F6"/>
    <mergeCell ref="A8:AA8"/>
    <mergeCell ref="AB8:AU8"/>
  </mergeCells>
  <phoneticPr fontId="2"/>
  <dataValidations count="5">
    <dataValidation type="list" allowBlank="1" showInputMessage="1" showErrorMessage="1" promptTitle="勝敗" prompt="勝敗を選択してください" sqref="C4:C6" xr:uid="{9576C498-1574-5C42-903D-D5B695A95E5B}">
      <formula1>"○,●,△"</formula1>
    </dataValidation>
    <dataValidation type="date" allowBlank="1" showInputMessage="1" showErrorMessage="1" promptTitle="日付入力" prompt="日付を入力してください" sqref="A2:D2" xr:uid="{DA461D1E-3190-B546-8417-171D5150B359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D72F9099-6C4A-9C46-8784-6F7AE67D7A0F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13CC3969-4802-2F4B-A57C-74EBBE9270E2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045FD819-C2E7-C84E-BECA-409E60CB34D7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大会名" prompt="大会名を選択してください" xr:uid="{F86CB58A-F5BB-7241-ACA5-D679711ABF72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5B746416-E071-7943-A869-0621749EB03E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051674DB-2DAB-7B47-85D3-0E369792DDE6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AB04C4C8-176B-B744-87D3-F97CE18E2F1F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D4EACCEE-06A9-F840-AD36-61AF1D4EA0FE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D9D3F687-15F7-894F-9372-8E7A137D91D3}">
          <x14:formula1>
            <xm:f>データ!$A:$A</xm:f>
          </x14:formula1>
          <xm:sqref>AC10:AC29 D10:D29 D41:D70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E69E2-9D43-48F5-B8AC-625E559EEC4E}">
  <sheetPr codeName="Sheet17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.187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45395</v>
      </c>
      <c r="B2" s="96"/>
      <c r="C2" s="96"/>
      <c r="D2" s="96"/>
      <c r="E2" s="95" t="s">
        <v>88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87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ht="14.55" customHeight="1" x14ac:dyDescent="0.7">
      <c r="C4" s="95" t="s">
        <v>110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87</v>
      </c>
      <c r="E5" s="95"/>
      <c r="F5" s="95"/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0</v>
      </c>
      <c r="U5" s="10">
        <f>IF(D5="九州工業大学",G30,AT30)</f>
        <v>2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1</v>
      </c>
      <c r="L6" s="2">
        <v>0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1</v>
      </c>
      <c r="U6" s="10">
        <f>IF(D6="九州工業大学",G30,AT30)</f>
        <v>8</v>
      </c>
      <c r="V6" s="10">
        <f>IF(D6="九州工業大学",AA30,N30)</f>
        <v>1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112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103</v>
      </c>
      <c r="C10" s="10">
        <f>IF(D10="","",VLOOKUP(D10,データ!A:C,2,FALSE))</f>
        <v>3</v>
      </c>
      <c r="D10" s="7" t="s">
        <v>73</v>
      </c>
      <c r="E10" s="9">
        <v>4</v>
      </c>
      <c r="F10" s="10">
        <f>IF(D10="","",E10-R10-S10-W10-X10)</f>
        <v>4</v>
      </c>
      <c r="G10" s="10">
        <f>IF(D10="","",SUM(J10:M10))</f>
        <v>1</v>
      </c>
      <c r="H10" s="9">
        <v>2</v>
      </c>
      <c r="I10" s="9"/>
      <c r="J10" s="9">
        <v>1</v>
      </c>
      <c r="K10" s="9"/>
      <c r="L10" s="9"/>
      <c r="M10" s="9"/>
      <c r="N10" s="9"/>
      <c r="O10" s="9"/>
      <c r="P10" s="9"/>
      <c r="Q10" s="9">
        <v>1</v>
      </c>
      <c r="R10" s="9"/>
      <c r="S10" s="9"/>
      <c r="T10" s="9"/>
      <c r="U10" s="9"/>
      <c r="V10" s="9"/>
      <c r="W10" s="9"/>
      <c r="X10" s="9"/>
      <c r="Y10" s="9">
        <v>6</v>
      </c>
      <c r="Z10" s="9">
        <v>1</v>
      </c>
      <c r="AA10" s="9"/>
      <c r="AB10" s="10">
        <f>IF(AC10="","",VLOOKUP(AC10,データ!A:C,2,FALSE))</f>
        <v>21</v>
      </c>
      <c r="AC10" s="7" t="s">
        <v>79</v>
      </c>
      <c r="AD10" s="10">
        <f>IF(AC10="","",IF(AJ10="",0,1))</f>
        <v>1</v>
      </c>
      <c r="AE10" s="9">
        <v>1</v>
      </c>
      <c r="AF10" s="9"/>
      <c r="AG10" s="9"/>
      <c r="AH10" s="9">
        <v>1</v>
      </c>
      <c r="AI10" s="9">
        <v>1</v>
      </c>
      <c r="AJ10" s="9">
        <v>7</v>
      </c>
      <c r="AK10" s="9"/>
      <c r="AL10" s="9">
        <v>89</v>
      </c>
      <c r="AM10" s="9"/>
      <c r="AN10" s="9"/>
      <c r="AO10" s="9">
        <v>26</v>
      </c>
      <c r="AP10" s="9">
        <v>4</v>
      </c>
      <c r="AQ10" s="9">
        <v>3</v>
      </c>
      <c r="AR10" s="9"/>
      <c r="AS10" s="9"/>
      <c r="AT10" s="9">
        <v>2</v>
      </c>
      <c r="AU10" s="9"/>
    </row>
    <row r="11" spans="1:47" x14ac:dyDescent="0.7">
      <c r="A11" s="2">
        <v>2</v>
      </c>
      <c r="B11" s="8" t="s">
        <v>104</v>
      </c>
      <c r="C11" s="10">
        <f>IF(D11="","",VLOOKUP(D11,データ!A:C,2,FALSE))</f>
        <v>53</v>
      </c>
      <c r="D11" s="7" t="s">
        <v>53</v>
      </c>
      <c r="E11" s="9">
        <v>1</v>
      </c>
      <c r="F11" s="10">
        <f t="shared" ref="F11:F29" si="0">IF(D11="","",E11-R11-S11-W11-X11)</f>
        <v>1</v>
      </c>
      <c r="G11" s="10">
        <f t="shared" ref="G11:G29" si="1">IF(D11="","",SUM(J11:M11))</f>
        <v>1</v>
      </c>
      <c r="H11" s="9"/>
      <c r="I11" s="9"/>
      <c r="J11" s="9">
        <v>1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10" t="str">
        <f>IF(AC11="","",VLOOKUP(AC11,データ!A:C,2,FALSE))</f>
        <v/>
      </c>
      <c r="AC11" s="7"/>
      <c r="AD11" s="10" t="str">
        <f t="shared" ref="AD11:AD29" si="2">IF(AC11="","",IF(AJ11="",0,1))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</row>
    <row r="12" spans="1:47" x14ac:dyDescent="0.7">
      <c r="A12" s="2">
        <v>3</v>
      </c>
      <c r="B12" s="8" t="s">
        <v>101</v>
      </c>
      <c r="C12" s="10">
        <f>IF(D12="","",VLOOKUP(D12,データ!A:C,2,FALSE))</f>
        <v>21</v>
      </c>
      <c r="D12" s="7" t="s">
        <v>79</v>
      </c>
      <c r="E12" s="9">
        <v>3</v>
      </c>
      <c r="F12" s="10">
        <f t="shared" si="0"/>
        <v>3</v>
      </c>
      <c r="G12" s="10">
        <f t="shared" si="1"/>
        <v>1</v>
      </c>
      <c r="H12" s="9">
        <v>1</v>
      </c>
      <c r="I12" s="9"/>
      <c r="J12" s="9"/>
      <c r="K12" s="9"/>
      <c r="L12" s="9"/>
      <c r="M12" s="9">
        <v>1</v>
      </c>
      <c r="N12" s="9"/>
      <c r="O12" s="9">
        <v>1</v>
      </c>
      <c r="P12" s="9">
        <v>1</v>
      </c>
      <c r="Q12" s="9"/>
      <c r="R12" s="9"/>
      <c r="S12" s="9"/>
      <c r="T12" s="9"/>
      <c r="U12" s="9"/>
      <c r="V12" s="9"/>
      <c r="W12" s="9"/>
      <c r="X12" s="9"/>
      <c r="Y12" s="9">
        <v>2</v>
      </c>
      <c r="Z12" s="9">
        <v>2</v>
      </c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105</v>
      </c>
      <c r="C13" s="10">
        <f>IF(D13="","",VLOOKUP(D13,データ!A:C,2,FALSE))</f>
        <v>12</v>
      </c>
      <c r="D13" s="7" t="s">
        <v>75</v>
      </c>
      <c r="E13" s="9">
        <v>3</v>
      </c>
      <c r="F13" s="10">
        <f t="shared" si="0"/>
        <v>2</v>
      </c>
      <c r="G13" s="10">
        <f t="shared" si="1"/>
        <v>0</v>
      </c>
      <c r="H13" s="9">
        <v>1</v>
      </c>
      <c r="I13" s="9"/>
      <c r="J13" s="9"/>
      <c r="K13" s="9"/>
      <c r="L13" s="9"/>
      <c r="M13" s="9"/>
      <c r="N13" s="9"/>
      <c r="O13" s="9"/>
      <c r="P13" s="9"/>
      <c r="Q13" s="9">
        <v>1</v>
      </c>
      <c r="R13" s="9">
        <v>1</v>
      </c>
      <c r="S13" s="9"/>
      <c r="T13" s="9"/>
      <c r="U13" s="9">
        <v>1</v>
      </c>
      <c r="V13" s="9"/>
      <c r="W13" s="9"/>
      <c r="X13" s="9"/>
      <c r="Y13" s="9">
        <v>5</v>
      </c>
      <c r="Z13" s="9"/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106</v>
      </c>
      <c r="C14" s="10">
        <f>IF(D14="","",VLOOKUP(D14,データ!A:C,2,FALSE))</f>
        <v>9</v>
      </c>
      <c r="D14" s="7" t="s">
        <v>56</v>
      </c>
      <c r="E14" s="9">
        <v>3</v>
      </c>
      <c r="F14" s="10">
        <f t="shared" si="0"/>
        <v>2</v>
      </c>
      <c r="G14" s="10">
        <f t="shared" si="1"/>
        <v>1</v>
      </c>
      <c r="H14" s="9">
        <v>1</v>
      </c>
      <c r="I14" s="9">
        <v>1</v>
      </c>
      <c r="J14" s="9">
        <v>1</v>
      </c>
      <c r="K14" s="9"/>
      <c r="L14" s="9"/>
      <c r="M14" s="9"/>
      <c r="N14" s="9"/>
      <c r="O14" s="9"/>
      <c r="P14" s="9"/>
      <c r="Q14" s="9">
        <v>1</v>
      </c>
      <c r="R14" s="9">
        <v>1</v>
      </c>
      <c r="S14" s="9"/>
      <c r="T14" s="9"/>
      <c r="U14" s="9"/>
      <c r="V14" s="9"/>
      <c r="W14" s="9"/>
      <c r="X14" s="9"/>
      <c r="Y14" s="9"/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107</v>
      </c>
      <c r="C15" s="10">
        <f>IF(D15="","",VLOOKUP(D15,データ!A:C,2,FALSE))</f>
        <v>99</v>
      </c>
      <c r="D15" s="7" t="s">
        <v>59</v>
      </c>
      <c r="E15" s="9">
        <v>3</v>
      </c>
      <c r="F15" s="10">
        <f t="shared" si="0"/>
        <v>3</v>
      </c>
      <c r="G15" s="10">
        <f t="shared" si="1"/>
        <v>1</v>
      </c>
      <c r="H15" s="9">
        <v>1</v>
      </c>
      <c r="I15" s="9"/>
      <c r="J15" s="9">
        <v>1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>
        <v>1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108</v>
      </c>
      <c r="C16" s="10">
        <f>IF(D16="","",VLOOKUP(D16,データ!A:C,2,FALSE))</f>
        <v>50</v>
      </c>
      <c r="D16" s="7" t="s">
        <v>63</v>
      </c>
      <c r="E16" s="9">
        <v>3</v>
      </c>
      <c r="F16" s="10">
        <f t="shared" si="0"/>
        <v>3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>
        <v>1</v>
      </c>
      <c r="R16" s="9"/>
      <c r="S16" s="9"/>
      <c r="T16" s="9"/>
      <c r="U16" s="9"/>
      <c r="V16" s="9"/>
      <c r="W16" s="9"/>
      <c r="X16" s="9"/>
      <c r="Y16" s="9">
        <v>1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109</v>
      </c>
      <c r="C17" s="10">
        <f>IF(D17="","",VLOOKUP(D17,データ!A:C,2,FALSE))</f>
        <v>5</v>
      </c>
      <c r="D17" s="7" t="s">
        <v>57</v>
      </c>
      <c r="E17" s="9">
        <v>3</v>
      </c>
      <c r="F17" s="10">
        <f t="shared" si="0"/>
        <v>3</v>
      </c>
      <c r="G17" s="10">
        <f t="shared" si="1"/>
        <v>0</v>
      </c>
      <c r="H17" s="9"/>
      <c r="I17" s="9"/>
      <c r="J17" s="9"/>
      <c r="K17" s="9"/>
      <c r="L17" s="9"/>
      <c r="M17" s="9"/>
      <c r="N17" s="9">
        <v>1</v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>
        <v>2</v>
      </c>
      <c r="Z17" s="9"/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x14ac:dyDescent="0.7">
      <c r="A18" s="2">
        <v>9</v>
      </c>
      <c r="B18" s="8" t="s">
        <v>99</v>
      </c>
      <c r="C18" s="10">
        <f>IF(D18="","",VLOOKUP(D18,データ!A:C,2,FALSE))</f>
        <v>1</v>
      </c>
      <c r="D18" s="7" t="s">
        <v>81</v>
      </c>
      <c r="E18" s="9">
        <v>3</v>
      </c>
      <c r="F18" s="10">
        <f t="shared" si="0"/>
        <v>3</v>
      </c>
      <c r="G18" s="10">
        <f t="shared" si="1"/>
        <v>3</v>
      </c>
      <c r="H18" s="9"/>
      <c r="I18" s="9"/>
      <c r="J18" s="9">
        <v>2</v>
      </c>
      <c r="K18" s="9">
        <v>1</v>
      </c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>
        <v>3</v>
      </c>
      <c r="Z18" s="9">
        <v>1</v>
      </c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107</v>
      </c>
      <c r="C19" s="10">
        <f>IF(D19="","",VLOOKUP(D19,データ!A:C,2,FALSE))</f>
        <v>25</v>
      </c>
      <c r="D19" s="7" t="s">
        <v>83</v>
      </c>
      <c r="E19" s="9">
        <v>2</v>
      </c>
      <c r="F19" s="10">
        <f t="shared" si="0"/>
        <v>2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>
        <v>1</v>
      </c>
      <c r="Z19" s="9">
        <v>2</v>
      </c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/>
      <c r="C20" s="10" t="str">
        <f>IF(D20="","",VLOOKUP(D20,データ!A:C,2,FALSE))</f>
        <v/>
      </c>
      <c r="D20" s="7"/>
      <c r="E20" s="9"/>
      <c r="F20" s="10" t="str">
        <f t="shared" si="0"/>
        <v/>
      </c>
      <c r="G20" s="10" t="str">
        <f t="shared" si="1"/>
        <v/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28</v>
      </c>
      <c r="F30" s="1">
        <f t="shared" si="3"/>
        <v>26</v>
      </c>
      <c r="G30" s="1">
        <f t="shared" si="3"/>
        <v>8</v>
      </c>
      <c r="H30" s="1">
        <f t="shared" si="3"/>
        <v>6</v>
      </c>
      <c r="I30" s="1">
        <f t="shared" si="3"/>
        <v>1</v>
      </c>
      <c r="J30" s="1">
        <f t="shared" si="3"/>
        <v>6</v>
      </c>
      <c r="K30" s="1">
        <f t="shared" si="3"/>
        <v>1</v>
      </c>
      <c r="L30" s="1">
        <f t="shared" si="3"/>
        <v>0</v>
      </c>
      <c r="M30" s="1">
        <f t="shared" si="3"/>
        <v>1</v>
      </c>
      <c r="N30" s="1">
        <f t="shared" si="3"/>
        <v>1</v>
      </c>
      <c r="O30" s="1">
        <f t="shared" si="3"/>
        <v>1</v>
      </c>
      <c r="P30" s="1">
        <f t="shared" si="3"/>
        <v>1</v>
      </c>
      <c r="Q30" s="1">
        <f t="shared" si="3"/>
        <v>4</v>
      </c>
      <c r="R30" s="1">
        <f t="shared" si="3"/>
        <v>2</v>
      </c>
      <c r="S30" s="1">
        <f t="shared" si="3"/>
        <v>0</v>
      </c>
      <c r="T30" s="1">
        <f t="shared" si="3"/>
        <v>0</v>
      </c>
      <c r="U30" s="1">
        <f t="shared" si="3"/>
        <v>1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6</v>
      </c>
      <c r="AA30" s="1">
        <f t="shared" si="3"/>
        <v>1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89</v>
      </c>
      <c r="AM30" s="1">
        <f t="shared" si="4"/>
        <v>0</v>
      </c>
      <c r="AN30" s="1">
        <f t="shared" si="4"/>
        <v>0</v>
      </c>
      <c r="AO30" s="1">
        <f t="shared" si="4"/>
        <v>26</v>
      </c>
      <c r="AP30" s="1">
        <f t="shared" si="4"/>
        <v>4</v>
      </c>
      <c r="AQ30" s="1">
        <f t="shared" si="4"/>
        <v>3</v>
      </c>
      <c r="AR30" s="1">
        <f>SUM(AR10:AR29)</f>
        <v>0</v>
      </c>
      <c r="AS30" s="1">
        <f>SUM(AS10:AS29)</f>
        <v>0</v>
      </c>
      <c r="AT30" s="1">
        <f>SUM(AT10:AT29)</f>
        <v>2</v>
      </c>
      <c r="AU30" s="1">
        <f t="shared" si="4"/>
        <v>0</v>
      </c>
    </row>
    <row r="31" spans="1:47" ht="14.25" x14ac:dyDescent="0.7">
      <c r="D31" s="1">
        <f>G30/F30</f>
        <v>0.30769230769230771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3</v>
      </c>
      <c r="F41" s="1">
        <f t="shared" si="5"/>
        <v>3</v>
      </c>
      <c r="G41" s="1">
        <f t="shared" si="5"/>
        <v>3</v>
      </c>
      <c r="H41" s="1">
        <f t="shared" si="5"/>
        <v>0</v>
      </c>
      <c r="I41" s="1">
        <f t="shared" si="5"/>
        <v>0</v>
      </c>
      <c r="J41" s="1">
        <f t="shared" si="5"/>
        <v>2</v>
      </c>
      <c r="K41" s="1">
        <f t="shared" si="5"/>
        <v>1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3</v>
      </c>
      <c r="Z41" s="1">
        <f t="shared" si="6"/>
        <v>1</v>
      </c>
      <c r="AA41" s="1">
        <f t="shared" si="6"/>
        <v>1</v>
      </c>
      <c r="AD41" s="1">
        <f t="shared" ref="AD41:AS56" si="7">IFERROR(VLOOKUP($D41,$AC$10:$AU$29,AD$71,FALSE),0)</f>
        <v>0</v>
      </c>
      <c r="AE41" s="1">
        <f t="shared" si="7"/>
        <v>0</v>
      </c>
      <c r="AF41" s="1">
        <f t="shared" si="7"/>
        <v>0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0</v>
      </c>
      <c r="AK41" s="1">
        <f t="shared" si="7"/>
        <v>0</v>
      </c>
      <c r="AL41" s="1">
        <f t="shared" si="7"/>
        <v>0</v>
      </c>
      <c r="AM41" s="1">
        <f t="shared" si="7"/>
        <v>0</v>
      </c>
      <c r="AN41" s="1">
        <f t="shared" si="7"/>
        <v>0</v>
      </c>
      <c r="AO41" s="1">
        <f t="shared" si="7"/>
        <v>0</v>
      </c>
      <c r="AP41" s="1">
        <f t="shared" si="7"/>
        <v>0</v>
      </c>
      <c r="AQ41" s="1">
        <f t="shared" si="7"/>
        <v>0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0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4</v>
      </c>
      <c r="F42" s="1">
        <f t="shared" si="5"/>
        <v>4</v>
      </c>
      <c r="G42" s="1">
        <f t="shared" si="5"/>
        <v>1</v>
      </c>
      <c r="H42" s="1">
        <f t="shared" si="5"/>
        <v>2</v>
      </c>
      <c r="I42" s="1">
        <f t="shared" si="5"/>
        <v>0</v>
      </c>
      <c r="J42" s="1">
        <f t="shared" si="5"/>
        <v>1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1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6</v>
      </c>
      <c r="Z42" s="1">
        <f t="shared" si="6"/>
        <v>1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3</v>
      </c>
      <c r="F43" s="1">
        <f t="shared" si="5"/>
        <v>3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1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2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3</v>
      </c>
      <c r="F45" s="1">
        <f t="shared" si="5"/>
        <v>2</v>
      </c>
      <c r="G45" s="1">
        <f t="shared" si="5"/>
        <v>1</v>
      </c>
      <c r="H45" s="1">
        <f t="shared" si="5"/>
        <v>1</v>
      </c>
      <c r="I45" s="1">
        <f t="shared" si="5"/>
        <v>1</v>
      </c>
      <c r="J45" s="1">
        <f t="shared" si="5"/>
        <v>1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1</v>
      </c>
      <c r="R45" s="1">
        <f t="shared" si="5"/>
        <v>1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3</v>
      </c>
      <c r="F48" s="1">
        <f t="shared" si="5"/>
        <v>2</v>
      </c>
      <c r="G48" s="1">
        <f t="shared" si="5"/>
        <v>0</v>
      </c>
      <c r="H48" s="1">
        <f t="shared" si="5"/>
        <v>1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1</v>
      </c>
      <c r="R48" s="1">
        <f t="shared" si="5"/>
        <v>1</v>
      </c>
      <c r="S48" s="1">
        <f t="shared" si="5"/>
        <v>0</v>
      </c>
      <c r="T48" s="1">
        <f t="shared" si="5"/>
        <v>0</v>
      </c>
      <c r="U48" s="1">
        <f t="shared" si="6"/>
        <v>1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5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3</v>
      </c>
      <c r="G51" s="1">
        <f t="shared" si="5"/>
        <v>1</v>
      </c>
      <c r="H51" s="1">
        <f t="shared" si="5"/>
        <v>1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1</v>
      </c>
      <c r="N51" s="1">
        <f t="shared" si="5"/>
        <v>0</v>
      </c>
      <c r="O51" s="1">
        <f t="shared" si="5"/>
        <v>1</v>
      </c>
      <c r="P51" s="1">
        <f t="shared" si="5"/>
        <v>1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2</v>
      </c>
      <c r="Z51" s="1">
        <f t="shared" si="6"/>
        <v>2</v>
      </c>
      <c r="AA51" s="1">
        <f t="shared" si="6"/>
        <v>0</v>
      </c>
      <c r="AD51" s="1">
        <f t="shared" si="7"/>
        <v>1</v>
      </c>
      <c r="AE51" s="1">
        <f t="shared" si="7"/>
        <v>1</v>
      </c>
      <c r="AF51" s="1">
        <f t="shared" si="7"/>
        <v>0</v>
      </c>
      <c r="AG51" s="1">
        <f t="shared" si="7"/>
        <v>0</v>
      </c>
      <c r="AH51" s="1">
        <f t="shared" si="7"/>
        <v>1</v>
      </c>
      <c r="AI51" s="1">
        <f t="shared" si="7"/>
        <v>1</v>
      </c>
      <c r="AJ51" s="1">
        <f t="shared" si="7"/>
        <v>7</v>
      </c>
      <c r="AK51" s="1">
        <f t="shared" si="7"/>
        <v>0</v>
      </c>
      <c r="AL51" s="1">
        <f t="shared" si="7"/>
        <v>89</v>
      </c>
      <c r="AM51" s="1">
        <f t="shared" si="7"/>
        <v>0</v>
      </c>
      <c r="AN51" s="1">
        <f t="shared" si="7"/>
        <v>0</v>
      </c>
      <c r="AO51" s="1">
        <f t="shared" si="7"/>
        <v>26</v>
      </c>
      <c r="AP51" s="1">
        <f t="shared" si="7"/>
        <v>4</v>
      </c>
      <c r="AQ51" s="1">
        <f t="shared" si="7"/>
        <v>3</v>
      </c>
      <c r="AR51" s="1">
        <f t="shared" si="7"/>
        <v>0</v>
      </c>
      <c r="AS51" s="1">
        <f t="shared" si="7"/>
        <v>0</v>
      </c>
      <c r="AT51" s="1">
        <f t="shared" si="8"/>
        <v>2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2</v>
      </c>
      <c r="F54" s="1">
        <f t="shared" si="5"/>
        <v>2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1</v>
      </c>
      <c r="Z54" s="1">
        <f t="shared" si="6"/>
        <v>2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0</v>
      </c>
      <c r="F56" s="1">
        <f t="shared" si="5"/>
        <v>0</v>
      </c>
      <c r="G56" s="1">
        <f t="shared" si="5"/>
        <v>0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0</v>
      </c>
      <c r="Z56" s="1">
        <f t="shared" si="6"/>
        <v>0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3</v>
      </c>
      <c r="F59" s="1">
        <f t="shared" si="10"/>
        <v>3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1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1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1</v>
      </c>
      <c r="F61" s="1">
        <f t="shared" si="10"/>
        <v>1</v>
      </c>
      <c r="G61" s="1">
        <f t="shared" si="10"/>
        <v>1</v>
      </c>
      <c r="H61" s="1">
        <f t="shared" si="10"/>
        <v>0</v>
      </c>
      <c r="I61" s="1">
        <f t="shared" si="10"/>
        <v>0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3</v>
      </c>
      <c r="G63" s="1">
        <f t="shared" si="10"/>
        <v>1</v>
      </c>
      <c r="H63" s="1">
        <f t="shared" si="10"/>
        <v>1</v>
      </c>
      <c r="I63" s="1">
        <f t="shared" si="10"/>
        <v>0</v>
      </c>
      <c r="J63" s="1">
        <f t="shared" si="10"/>
        <v>1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AH2:AU2"/>
    <mergeCell ref="AH1:AU1"/>
    <mergeCell ref="AB8:AU8"/>
    <mergeCell ref="C4:C6"/>
    <mergeCell ref="D4:F4"/>
    <mergeCell ref="D5:F5"/>
    <mergeCell ref="D6:F6"/>
    <mergeCell ref="A8:AA8"/>
    <mergeCell ref="A1:D1"/>
    <mergeCell ref="E1:O1"/>
    <mergeCell ref="P1:AB1"/>
    <mergeCell ref="AC1:AG1"/>
    <mergeCell ref="A2:D2"/>
    <mergeCell ref="E2:O2"/>
    <mergeCell ref="P2:AB2"/>
    <mergeCell ref="AE2:AG2"/>
  </mergeCells>
  <phoneticPr fontId="2"/>
  <dataValidations xWindow="191" yWindow="855" count="5">
    <dataValidation type="list" allowBlank="1" showInputMessage="1" showErrorMessage="1" promptTitle="勝敗" prompt="勝敗を選択してください" sqref="C4:C6" xr:uid="{2A400C88-4D0B-4821-A68E-656A920B84FC}">
      <formula1>"○,●,△"</formula1>
    </dataValidation>
    <dataValidation type="date" allowBlank="1" showInputMessage="1" showErrorMessage="1" promptTitle="日付入力" prompt="日付を入力してください" sqref="A2:D2" xr:uid="{59E7C28C-B581-4BE2-A2CC-5FBD88092E81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3D7CEBF3-F7F8-4193-A0A1-73B2F224DE75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15BC4E90-950F-4588-81B9-515FB963FC39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D4C8C918-E085-4166-859B-54BD0939D847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xWindow="191" yWindow="855" count="6">
        <x14:dataValidation type="list" allowBlank="1" showInputMessage="1" showErrorMessage="1" promptTitle="大会名" prompt="大会名を選択してください" xr:uid="{A2D00258-76D5-4EE6-8496-B806B11A7450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013E89F6-25E5-42AA-9C1A-988F5AE475D8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3BBE4F10-C74E-4EB1-8F5D-0A0B505A98AD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CAA060BD-4DE4-4B2C-846B-65BA66324EA7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E0046487-6D6A-4BE6-9F0D-4EEDA24F45AD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94F8070B-DBB7-434B-8082-183E6E4EC323}">
          <x14:formula1>
            <xm:f>データ!$A:$A</xm:f>
          </x14:formula1>
          <xm:sqref>D10:D29 AC10:AC29 D41:D70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51215-55EA-4059-9C30-14B0EC6B49C9}">
  <sheetPr codeName="Sheet18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.187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45220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84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0.54166666666666663</v>
      </c>
      <c r="AD2" s="17" t="s">
        <v>46</v>
      </c>
      <c r="AE2" s="92">
        <v>0.625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ht="14.55" customHeight="1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84</v>
      </c>
      <c r="E5" s="95"/>
      <c r="F5" s="95"/>
      <c r="G5" s="2">
        <v>0</v>
      </c>
      <c r="H5" s="2">
        <v>4</v>
      </c>
      <c r="I5" s="2">
        <v>4</v>
      </c>
      <c r="J5" s="2">
        <v>1</v>
      </c>
      <c r="K5" s="2">
        <v>7</v>
      </c>
      <c r="L5" s="2"/>
      <c r="M5" s="2"/>
      <c r="N5" s="2"/>
      <c r="O5" s="2"/>
      <c r="P5" s="2"/>
      <c r="Q5" s="2"/>
      <c r="R5" s="2"/>
      <c r="S5" s="2"/>
      <c r="T5" s="10">
        <f>SUM(G5:S5)</f>
        <v>16</v>
      </c>
      <c r="U5" s="10">
        <f>IF(D5="九州工業大学",G30,AT30)</f>
        <v>12</v>
      </c>
      <c r="V5" s="10">
        <f>IF(D5="九州工業大学",AA30,N30)</f>
        <v>0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0</v>
      </c>
      <c r="L6" s="2"/>
      <c r="M6" s="2"/>
      <c r="N6" s="2"/>
      <c r="O6" s="2"/>
      <c r="P6" s="2"/>
      <c r="Q6" s="2"/>
      <c r="R6" s="2"/>
      <c r="S6" s="2"/>
      <c r="T6" s="10">
        <f>SUM(G6:S6)</f>
        <v>0</v>
      </c>
      <c r="U6" s="10">
        <f>IF(D6="九州工業大学",G30,AT30)</f>
        <v>0</v>
      </c>
      <c r="V6" s="10">
        <f>IF(D6="九州工業大学",AA30,N30)</f>
        <v>4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112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33</v>
      </c>
      <c r="D10" s="7" t="s">
        <v>65</v>
      </c>
      <c r="E10" s="9">
        <v>2</v>
      </c>
      <c r="F10" s="10">
        <f>IF(D10="","",E10-R10-S10-W10-X10)</f>
        <v>2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>
        <v>2</v>
      </c>
      <c r="AB10" s="10">
        <f>IF(AC10="","",VLOOKUP(AC10,データ!A:C,2,FALSE))</f>
        <v>1</v>
      </c>
      <c r="AC10" s="7" t="s">
        <v>81</v>
      </c>
      <c r="AD10" s="10">
        <f>IF(AC10="","",IF(AJ10="",0,1))</f>
        <v>1</v>
      </c>
      <c r="AE10" s="9"/>
      <c r="AF10" s="9">
        <v>1</v>
      </c>
      <c r="AG10" s="9"/>
      <c r="AH10" s="9"/>
      <c r="AI10" s="9"/>
      <c r="AJ10" s="9">
        <v>3</v>
      </c>
      <c r="AK10" s="9"/>
      <c r="AL10" s="9">
        <v>63</v>
      </c>
      <c r="AM10" s="9">
        <v>8</v>
      </c>
      <c r="AN10" s="9">
        <v>4</v>
      </c>
      <c r="AO10" s="9">
        <v>21</v>
      </c>
      <c r="AP10" s="9">
        <v>2</v>
      </c>
      <c r="AQ10" s="9">
        <v>2</v>
      </c>
      <c r="AR10" s="9">
        <v>1</v>
      </c>
      <c r="AS10" s="9">
        <v>1</v>
      </c>
      <c r="AT10" s="9">
        <v>6</v>
      </c>
      <c r="AU10" s="9"/>
    </row>
    <row r="11" spans="1:47" x14ac:dyDescent="0.7">
      <c r="A11" s="2">
        <v>2</v>
      </c>
      <c r="B11" s="8" t="s">
        <v>101</v>
      </c>
      <c r="C11" s="10">
        <f>IF(D11="","",VLOOKUP(D11,データ!A:C,2,FALSE))</f>
        <v>1</v>
      </c>
      <c r="D11" s="7" t="s">
        <v>81</v>
      </c>
      <c r="E11" s="9">
        <v>2</v>
      </c>
      <c r="F11" s="10">
        <f t="shared" ref="F11:F29" si="0">IF(D11="","",E11-R11-S11-W11-X11)</f>
        <v>2</v>
      </c>
      <c r="G11" s="10">
        <f t="shared" ref="G11:G29" si="1">IF(D11="","",SUM(J11:M11))</f>
        <v>0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>
        <v>3</v>
      </c>
      <c r="AA11" s="9"/>
      <c r="AB11" s="10">
        <f>IF(AC11="","",VLOOKUP(AC11,データ!A:C,2,FALSE))</f>
        <v>25</v>
      </c>
      <c r="AC11" s="7" t="s">
        <v>69</v>
      </c>
      <c r="AD11" s="10">
        <f t="shared" ref="AD11:AD29" si="2">IF(AC11="","",IF(AJ11="",0,1))</f>
        <v>1</v>
      </c>
      <c r="AE11" s="9"/>
      <c r="AF11" s="9"/>
      <c r="AG11" s="9"/>
      <c r="AH11" s="9"/>
      <c r="AI11" s="9"/>
      <c r="AJ11" s="9">
        <v>1</v>
      </c>
      <c r="AK11" s="9">
        <f>0/3</f>
        <v>0</v>
      </c>
      <c r="AL11" s="9">
        <v>30</v>
      </c>
      <c r="AM11" s="9">
        <v>3</v>
      </c>
      <c r="AN11" s="9">
        <v>4</v>
      </c>
      <c r="AO11" s="9">
        <v>8</v>
      </c>
      <c r="AP11" s="9"/>
      <c r="AQ11" s="9">
        <v>1</v>
      </c>
      <c r="AR11" s="9"/>
      <c r="AS11" s="9"/>
      <c r="AT11" s="9">
        <v>4</v>
      </c>
      <c r="AU11" s="9"/>
    </row>
    <row r="12" spans="1:47" x14ac:dyDescent="0.7">
      <c r="A12" s="2">
        <v>3</v>
      </c>
      <c r="B12" s="8" t="s">
        <v>109</v>
      </c>
      <c r="C12" s="10">
        <f>IF(D12="","",VLOOKUP(D12,データ!A:C,2,FALSE))</f>
        <v>5</v>
      </c>
      <c r="D12" s="7" t="s">
        <v>57</v>
      </c>
      <c r="E12" s="9">
        <v>2</v>
      </c>
      <c r="F12" s="10">
        <f t="shared" si="0"/>
        <v>2</v>
      </c>
      <c r="G12" s="10">
        <f t="shared" si="1"/>
        <v>0</v>
      </c>
      <c r="H12" s="9"/>
      <c r="I12" s="9"/>
      <c r="J12" s="9"/>
      <c r="K12" s="9"/>
      <c r="L12" s="9"/>
      <c r="M12" s="9"/>
      <c r="N12" s="9"/>
      <c r="O12" s="9"/>
      <c r="P12" s="9"/>
      <c r="Q12" s="9">
        <v>2</v>
      </c>
      <c r="R12" s="9"/>
      <c r="S12" s="9"/>
      <c r="T12" s="9"/>
      <c r="U12" s="9"/>
      <c r="V12" s="9"/>
      <c r="W12" s="9"/>
      <c r="X12" s="9"/>
      <c r="Y12" s="9">
        <v>1</v>
      </c>
      <c r="Z12" s="9"/>
      <c r="AA12" s="9"/>
      <c r="AB12" s="10">
        <f>IF(AC12="","",VLOOKUP(AC12,データ!A:C,2,FALSE))</f>
        <v>33</v>
      </c>
      <c r="AC12" s="7" t="s">
        <v>65</v>
      </c>
      <c r="AD12" s="10">
        <f t="shared" si="2"/>
        <v>1</v>
      </c>
      <c r="AE12" s="9"/>
      <c r="AF12" s="9"/>
      <c r="AG12" s="9"/>
      <c r="AH12" s="9"/>
      <c r="AI12" s="9"/>
      <c r="AJ12" s="9">
        <v>0</v>
      </c>
      <c r="AK12" s="18">
        <f>2/3</f>
        <v>0.66666666666666663</v>
      </c>
      <c r="AL12" s="9">
        <v>28</v>
      </c>
      <c r="AM12" s="9">
        <v>5</v>
      </c>
      <c r="AN12" s="9">
        <v>4</v>
      </c>
      <c r="AO12" s="9">
        <v>8</v>
      </c>
      <c r="AP12" s="9"/>
      <c r="AQ12" s="9">
        <v>2</v>
      </c>
      <c r="AR12" s="9">
        <v>1</v>
      </c>
      <c r="AS12" s="9"/>
      <c r="AT12" s="9">
        <v>2</v>
      </c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3</v>
      </c>
      <c r="D13" s="7" t="s">
        <v>73</v>
      </c>
      <c r="E13" s="9">
        <v>1</v>
      </c>
      <c r="F13" s="10">
        <f t="shared" si="0"/>
        <v>1</v>
      </c>
      <c r="G13" s="10">
        <f t="shared" si="1"/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>
        <v>2</v>
      </c>
      <c r="Z13" s="9"/>
      <c r="AA13" s="9">
        <v>2</v>
      </c>
      <c r="AB13" s="10">
        <f>IF(AC13="","",VLOOKUP(AC13,データ!A:C,2,FALSE))</f>
        <v>21</v>
      </c>
      <c r="AC13" s="7" t="s">
        <v>79</v>
      </c>
      <c r="AD13" s="10">
        <f t="shared" si="2"/>
        <v>1</v>
      </c>
      <c r="AE13" s="9"/>
      <c r="AF13" s="9"/>
      <c r="AG13" s="9"/>
      <c r="AH13" s="9"/>
      <c r="AI13" s="9"/>
      <c r="AJ13" s="9">
        <v>0</v>
      </c>
      <c r="AK13" s="18">
        <f>1/3</f>
        <v>0.33333333333333331</v>
      </c>
      <c r="AL13" s="9">
        <v>5</v>
      </c>
      <c r="AM13" s="9"/>
      <c r="AN13" s="9"/>
      <c r="AO13" s="9">
        <v>1</v>
      </c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105</v>
      </c>
      <c r="C14" s="10">
        <f>IF(D14="","",VLOOKUP(D14,データ!A:C,2,FALSE))</f>
        <v>12</v>
      </c>
      <c r="D14" s="7" t="s">
        <v>75</v>
      </c>
      <c r="E14" s="9">
        <v>1</v>
      </c>
      <c r="F14" s="10">
        <f t="shared" si="0"/>
        <v>1</v>
      </c>
      <c r="G14" s="10">
        <f t="shared" si="1"/>
        <v>0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>
        <v>2</v>
      </c>
      <c r="Z14" s="9"/>
      <c r="AA14" s="9"/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104</v>
      </c>
      <c r="C15" s="10">
        <f>IF(D15="","",VLOOKUP(D15,データ!A:C,2,FALSE))</f>
        <v>53</v>
      </c>
      <c r="D15" s="7" t="s">
        <v>53</v>
      </c>
      <c r="E15" s="9">
        <v>2</v>
      </c>
      <c r="F15" s="10">
        <f t="shared" si="0"/>
        <v>2</v>
      </c>
      <c r="G15" s="10">
        <f t="shared" si="1"/>
        <v>0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>
        <v>1</v>
      </c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107</v>
      </c>
      <c r="C16" s="10">
        <f>IF(D16="","",VLOOKUP(D16,データ!A:C,2,FALSE))</f>
        <v>99</v>
      </c>
      <c r="D16" s="7" t="s">
        <v>59</v>
      </c>
      <c r="E16" s="9">
        <v>1</v>
      </c>
      <c r="F16" s="10">
        <f t="shared" si="0"/>
        <v>1</v>
      </c>
      <c r="G16" s="10">
        <f t="shared" si="1"/>
        <v>0</v>
      </c>
      <c r="H16" s="9"/>
      <c r="I16" s="9"/>
      <c r="J16" s="9"/>
      <c r="K16" s="9"/>
      <c r="L16" s="9"/>
      <c r="M16" s="9"/>
      <c r="N16" s="9"/>
      <c r="O16" s="9"/>
      <c r="P16" s="9"/>
      <c r="Q16" s="9">
        <v>1</v>
      </c>
      <c r="R16" s="9"/>
      <c r="S16" s="9"/>
      <c r="T16" s="9"/>
      <c r="U16" s="9"/>
      <c r="V16" s="9"/>
      <c r="W16" s="9"/>
      <c r="X16" s="9"/>
      <c r="Y16" s="9">
        <v>2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106</v>
      </c>
      <c r="C17" s="10">
        <f>IF(D17="","",VLOOKUP(D17,データ!A:C,2,FALSE))</f>
        <v>9</v>
      </c>
      <c r="D17" s="7" t="s">
        <v>56</v>
      </c>
      <c r="E17" s="9">
        <v>1</v>
      </c>
      <c r="F17" s="10">
        <f t="shared" si="0"/>
        <v>1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>
        <v>1</v>
      </c>
      <c r="R17" s="9"/>
      <c r="S17" s="9"/>
      <c r="T17" s="9"/>
      <c r="U17" s="9"/>
      <c r="V17" s="9"/>
      <c r="W17" s="9"/>
      <c r="X17" s="9"/>
      <c r="Y17" s="9">
        <v>5</v>
      </c>
      <c r="Z17" s="9">
        <v>1</v>
      </c>
      <c r="AA17" s="9"/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x14ac:dyDescent="0.7">
      <c r="A18" s="2">
        <v>9</v>
      </c>
      <c r="B18" s="8" t="s">
        <v>108</v>
      </c>
      <c r="C18" s="10">
        <f>IF(D18="","",VLOOKUP(D18,データ!A:C,2,FALSE))</f>
        <v>47</v>
      </c>
      <c r="D18" s="7" t="s">
        <v>54</v>
      </c>
      <c r="E18" s="9">
        <v>1</v>
      </c>
      <c r="F18" s="10">
        <f t="shared" si="0"/>
        <v>1</v>
      </c>
      <c r="G18" s="10">
        <f t="shared" si="1"/>
        <v>0</v>
      </c>
      <c r="H18" s="9"/>
      <c r="I18" s="9"/>
      <c r="J18" s="9"/>
      <c r="K18" s="9"/>
      <c r="L18" s="9"/>
      <c r="M18" s="9"/>
      <c r="N18" s="9"/>
      <c r="O18" s="9"/>
      <c r="P18" s="9"/>
      <c r="Q18" s="9">
        <v>1</v>
      </c>
      <c r="R18" s="9"/>
      <c r="S18" s="9"/>
      <c r="T18" s="9"/>
      <c r="U18" s="9"/>
      <c r="V18" s="9"/>
      <c r="W18" s="9"/>
      <c r="X18" s="9"/>
      <c r="Y18" s="9"/>
      <c r="Z18" s="9"/>
      <c r="AA18" s="9"/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101</v>
      </c>
      <c r="C19" s="10">
        <f>IF(D19="","",VLOOKUP(D19,データ!A:C,2,FALSE))</f>
        <v>21</v>
      </c>
      <c r="D19" s="7" t="s">
        <v>79</v>
      </c>
      <c r="E19" s="9"/>
      <c r="F19" s="10">
        <f t="shared" si="0"/>
        <v>0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105</v>
      </c>
      <c r="C20" s="10">
        <f>IF(D20="","",VLOOKUP(D20,データ!A:C,2,FALSE))</f>
        <v>27</v>
      </c>
      <c r="D20" s="7" t="s">
        <v>77</v>
      </c>
      <c r="E20" s="9">
        <v>1</v>
      </c>
      <c r="F20" s="10">
        <f t="shared" si="0"/>
        <v>1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>
        <v>1</v>
      </c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 t="s">
        <v>101</v>
      </c>
      <c r="C21" s="10">
        <f>IF(D21="","",VLOOKUP(D21,データ!A:C,2,FALSE))</f>
        <v>25</v>
      </c>
      <c r="D21" s="7" t="s">
        <v>69</v>
      </c>
      <c r="E21" s="9"/>
      <c r="F21" s="10">
        <f t="shared" si="0"/>
        <v>0</v>
      </c>
      <c r="G21" s="10">
        <f t="shared" si="1"/>
        <v>0</v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 t="s">
        <v>107</v>
      </c>
      <c r="C22" s="10">
        <f>IF(D22="","",VLOOKUP(D22,データ!A:C,2,FALSE))</f>
        <v>26</v>
      </c>
      <c r="D22" s="7" t="s">
        <v>67</v>
      </c>
      <c r="E22" s="9">
        <v>1</v>
      </c>
      <c r="F22" s="10">
        <f t="shared" si="0"/>
        <v>1</v>
      </c>
      <c r="G22" s="10">
        <f t="shared" si="1"/>
        <v>0</v>
      </c>
      <c r="H22" s="9"/>
      <c r="I22" s="9"/>
      <c r="J22" s="9"/>
      <c r="K22" s="9"/>
      <c r="L22" s="9"/>
      <c r="M22" s="9"/>
      <c r="N22" s="9"/>
      <c r="O22" s="9"/>
      <c r="P22" s="9"/>
      <c r="Q22" s="9">
        <v>1</v>
      </c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 t="s">
        <v>103</v>
      </c>
      <c r="C23" s="10">
        <f>IF(D23="","",VLOOKUP(D23,データ!A:C,2,FALSE))</f>
        <v>50</v>
      </c>
      <c r="D23" s="7" t="s">
        <v>63</v>
      </c>
      <c r="E23" s="9"/>
      <c r="F23" s="10">
        <f t="shared" si="0"/>
        <v>0</v>
      </c>
      <c r="G23" s="10">
        <f t="shared" si="1"/>
        <v>0</v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>
        <v>2</v>
      </c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15</v>
      </c>
      <c r="F30" s="1">
        <f t="shared" si="3"/>
        <v>15</v>
      </c>
      <c r="G30" s="1">
        <f t="shared" si="3"/>
        <v>0</v>
      </c>
      <c r="H30" s="1">
        <f t="shared" si="3"/>
        <v>0</v>
      </c>
      <c r="I30" s="1">
        <f t="shared" si="3"/>
        <v>0</v>
      </c>
      <c r="J30" s="1">
        <f t="shared" si="3"/>
        <v>0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0</v>
      </c>
      <c r="O30" s="1">
        <f t="shared" si="3"/>
        <v>0</v>
      </c>
      <c r="P30" s="1">
        <f t="shared" si="3"/>
        <v>0</v>
      </c>
      <c r="Q30" s="1">
        <f t="shared" si="3"/>
        <v>7</v>
      </c>
      <c r="R30" s="1">
        <f t="shared" si="3"/>
        <v>0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15</v>
      </c>
      <c r="Z30" s="1">
        <f t="shared" si="3"/>
        <v>4</v>
      </c>
      <c r="AA30" s="1">
        <f t="shared" si="3"/>
        <v>4</v>
      </c>
      <c r="AJ30" s="1">
        <f t="shared" ref="AJ30:AU30" si="4">SUM(AJ10:AJ29)</f>
        <v>4</v>
      </c>
      <c r="AK30" s="1">
        <f t="shared" si="4"/>
        <v>1</v>
      </c>
      <c r="AL30" s="1">
        <f t="shared" si="4"/>
        <v>126</v>
      </c>
      <c r="AM30" s="1">
        <f t="shared" si="4"/>
        <v>16</v>
      </c>
      <c r="AN30" s="1">
        <f t="shared" si="4"/>
        <v>12</v>
      </c>
      <c r="AO30" s="1">
        <f t="shared" si="4"/>
        <v>38</v>
      </c>
      <c r="AP30" s="1">
        <f t="shared" si="4"/>
        <v>2</v>
      </c>
      <c r="AQ30" s="1">
        <f t="shared" si="4"/>
        <v>5</v>
      </c>
      <c r="AR30" s="1">
        <f>SUM(AR10:AR29)</f>
        <v>2</v>
      </c>
      <c r="AS30" s="1">
        <f>SUM(AS10:AS29)</f>
        <v>1</v>
      </c>
      <c r="AT30" s="1">
        <f>SUM(AT10:AT29)</f>
        <v>12</v>
      </c>
      <c r="AU30" s="1">
        <f t="shared" si="4"/>
        <v>0</v>
      </c>
    </row>
    <row r="31" spans="1:47" ht="14.25" x14ac:dyDescent="0.7">
      <c r="D31" s="1">
        <f>G30/F30</f>
        <v>0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2</v>
      </c>
      <c r="F41" s="1">
        <f t="shared" si="5"/>
        <v>2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3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3</v>
      </c>
      <c r="AK41" s="1">
        <f t="shared" si="7"/>
        <v>0</v>
      </c>
      <c r="AL41" s="1">
        <f t="shared" si="7"/>
        <v>63</v>
      </c>
      <c r="AM41" s="1">
        <f t="shared" si="7"/>
        <v>8</v>
      </c>
      <c r="AN41" s="1">
        <f t="shared" si="7"/>
        <v>4</v>
      </c>
      <c r="AO41" s="1">
        <f t="shared" si="7"/>
        <v>21</v>
      </c>
      <c r="AP41" s="1">
        <f t="shared" si="7"/>
        <v>2</v>
      </c>
      <c r="AQ41" s="1">
        <f t="shared" si="7"/>
        <v>2</v>
      </c>
      <c r="AR41" s="1">
        <f t="shared" si="7"/>
        <v>1</v>
      </c>
      <c r="AS41" s="1">
        <f t="shared" si="7"/>
        <v>1</v>
      </c>
      <c r="AT41" s="1">
        <f t="shared" ref="AN41:AU56" si="8">IFERROR(VLOOKUP($D41,$AC$10:$AU$29,AT$71,FALSE),0)</f>
        <v>6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1</v>
      </c>
      <c r="F42" s="1">
        <f t="shared" si="5"/>
        <v>1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2</v>
      </c>
      <c r="Z42" s="1">
        <f t="shared" si="6"/>
        <v>0</v>
      </c>
      <c r="AA42" s="1">
        <f t="shared" si="6"/>
        <v>2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2</v>
      </c>
      <c r="F43" s="1">
        <f t="shared" si="5"/>
        <v>2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2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1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1</v>
      </c>
      <c r="F45" s="1">
        <f t="shared" si="5"/>
        <v>1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1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5</v>
      </c>
      <c r="Z45" s="1">
        <f t="shared" si="6"/>
        <v>1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1</v>
      </c>
      <c r="F48" s="1">
        <f t="shared" si="5"/>
        <v>1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2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1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0</v>
      </c>
      <c r="AK51" s="1">
        <f t="shared" si="7"/>
        <v>0.33333333333333331</v>
      </c>
      <c r="AL51" s="1">
        <f t="shared" si="7"/>
        <v>5</v>
      </c>
      <c r="AM51" s="1">
        <f t="shared" si="7"/>
        <v>0</v>
      </c>
      <c r="AN51" s="1">
        <f t="shared" si="7"/>
        <v>0</v>
      </c>
      <c r="AO51" s="1">
        <f t="shared" si="7"/>
        <v>1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2</v>
      </c>
      <c r="F56" s="1">
        <f t="shared" si="5"/>
        <v>2</v>
      </c>
      <c r="G56" s="1">
        <f t="shared" si="5"/>
        <v>0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0</v>
      </c>
      <c r="Z56" s="1">
        <f t="shared" si="6"/>
        <v>0</v>
      </c>
      <c r="AA56" s="1">
        <f t="shared" si="6"/>
        <v>2</v>
      </c>
      <c r="AD56" s="1">
        <f t="shared" si="7"/>
        <v>1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0.66666666666666663</v>
      </c>
      <c r="AL56" s="1">
        <f t="shared" si="7"/>
        <v>28</v>
      </c>
      <c r="AM56" s="1">
        <f t="shared" si="7"/>
        <v>5</v>
      </c>
      <c r="AN56" s="1">
        <f t="shared" si="7"/>
        <v>4</v>
      </c>
      <c r="AO56" s="1">
        <f t="shared" si="7"/>
        <v>8</v>
      </c>
      <c r="AP56" s="1">
        <f t="shared" si="7"/>
        <v>0</v>
      </c>
      <c r="AQ56" s="1">
        <f t="shared" si="7"/>
        <v>2</v>
      </c>
      <c r="AR56" s="1">
        <f t="shared" si="7"/>
        <v>1</v>
      </c>
      <c r="AS56" s="1">
        <f t="shared" si="7"/>
        <v>0</v>
      </c>
      <c r="AT56" s="1">
        <f t="shared" si="8"/>
        <v>2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1</v>
      </c>
      <c r="F58" s="1">
        <f t="shared" si="10"/>
        <v>1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1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2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2</v>
      </c>
      <c r="F61" s="1">
        <f t="shared" si="10"/>
        <v>2</v>
      </c>
      <c r="G61" s="1">
        <f t="shared" si="10"/>
        <v>0</v>
      </c>
      <c r="H61" s="1">
        <f t="shared" si="10"/>
        <v>0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1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1</v>
      </c>
      <c r="F63" s="1">
        <f t="shared" si="10"/>
        <v>1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1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2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AH1:AU1"/>
    <mergeCell ref="AH2:AU2"/>
    <mergeCell ref="AB8:AU8"/>
    <mergeCell ref="C4:C6"/>
    <mergeCell ref="D4:F4"/>
    <mergeCell ref="D5:F5"/>
    <mergeCell ref="D6:F6"/>
    <mergeCell ref="A8:AA8"/>
    <mergeCell ref="A1:D1"/>
    <mergeCell ref="E1:O1"/>
    <mergeCell ref="P1:AB1"/>
    <mergeCell ref="AC1:AG1"/>
    <mergeCell ref="A2:D2"/>
    <mergeCell ref="E2:O2"/>
    <mergeCell ref="P2:AB2"/>
    <mergeCell ref="AE2:AG2"/>
  </mergeCells>
  <phoneticPr fontId="2"/>
  <dataValidations xWindow="96" yWindow="858" count="5">
    <dataValidation type="list" allowBlank="1" showInputMessage="1" showErrorMessage="1" promptTitle="守備位置" prompt="守備位置を選択してください" sqref="B10:B29" xr:uid="{C361F686-ED33-4775-B266-36C96562EB15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12826416-5C93-41CF-876F-0EF143FD50D6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98EDDE53-4A61-4232-B7E5-63004AC6E65D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D0E888E5-3887-4AED-9C5D-743F00576D3D}">
      <formula1>45017</formula1>
      <formula2>45747</formula2>
    </dataValidation>
    <dataValidation type="list" allowBlank="1" showInputMessage="1" showErrorMessage="1" promptTitle="勝敗" prompt="勝敗を選択してください" sqref="C4:C6" xr:uid="{31244FC9-5086-4891-A2B1-AA56AAFD47B7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xWindow="96" yWindow="858" count="6">
        <x14:dataValidation type="list" allowBlank="1" showInputMessage="1" showErrorMessage="1" promptTitle="選手名" prompt="選手目を選択してください" xr:uid="{2F943889-FA35-4B92-B6E2-6C747252E365}">
          <x14:formula1>
            <xm:f>データ!$A:$A</xm:f>
          </x14:formula1>
          <xm:sqref>D10:D29 AC10:AC29 D41:D70</xm:sqref>
        </x14:dataValidation>
        <x14:dataValidation type="list" allowBlank="1" showInputMessage="1" showErrorMessage="1" promptTitle="後攻" prompt="後攻チームを選択してください" xr:uid="{0BE9845F-767B-4C49-883A-3AEC4A5434C9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448EDE6B-7031-43D3-A5C6-16EA87C8B246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D20B7516-A460-4B7D-8FAC-9A7C6AC219FB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D92E958E-5ECA-4189-8DC3-FDE5FAFD1796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D1361D27-2BFF-4A27-BC35-FD2040C4F847}">
          <x14:formula1>
            <xm:f>データ!$E:$E</xm:f>
          </x14:formula1>
          <xm:sqref>E2:O2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339CA-A8DA-4ACE-80B6-2A984EEF7397}">
  <sheetPr codeName="Sheet19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.187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45220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85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0.41666666666666669</v>
      </c>
      <c r="AD2" s="17" t="s">
        <v>46</v>
      </c>
      <c r="AE2" s="92">
        <v>0.5</v>
      </c>
      <c r="AF2" s="93"/>
      <c r="AG2" s="94"/>
      <c r="AH2" s="89" t="s">
        <v>86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85</v>
      </c>
      <c r="E5" s="95"/>
      <c r="F5" s="95"/>
      <c r="G5" s="2">
        <v>1</v>
      </c>
      <c r="H5" s="2">
        <v>0</v>
      </c>
      <c r="I5" s="2">
        <v>0</v>
      </c>
      <c r="J5" s="2">
        <v>0</v>
      </c>
      <c r="K5" s="2">
        <v>0</v>
      </c>
      <c r="L5" s="2">
        <v>1</v>
      </c>
      <c r="M5" s="2">
        <v>3</v>
      </c>
      <c r="N5" s="2"/>
      <c r="O5" s="2"/>
      <c r="P5" s="2"/>
      <c r="Q5" s="2"/>
      <c r="R5" s="2"/>
      <c r="S5" s="2"/>
      <c r="T5" s="10">
        <f>SUM(G5:S5)</f>
        <v>5</v>
      </c>
      <c r="U5" s="10">
        <f>IF(D5="九州工業大学",G30,AT30)</f>
        <v>7</v>
      </c>
      <c r="V5" s="10">
        <f>IF(D5="九州工業大学",AA30,N30)</f>
        <v>1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1</v>
      </c>
      <c r="K6" s="2">
        <v>0</v>
      </c>
      <c r="L6" s="2">
        <v>0</v>
      </c>
      <c r="M6" s="2">
        <v>0</v>
      </c>
      <c r="N6" s="2"/>
      <c r="O6" s="2"/>
      <c r="P6" s="2"/>
      <c r="Q6" s="2"/>
      <c r="R6" s="2"/>
      <c r="S6" s="2"/>
      <c r="T6" s="10">
        <f>SUM(G6:S6)</f>
        <v>1</v>
      </c>
      <c r="U6" s="10">
        <f>IF(D6="九州工業大学",G30,AT30)</f>
        <v>3</v>
      </c>
      <c r="V6" s="10">
        <f>IF(D6="九州工業大学",AA30,N30)</f>
        <v>6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112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33</v>
      </c>
      <c r="D10" s="7" t="s">
        <v>65</v>
      </c>
      <c r="E10" s="9">
        <v>4</v>
      </c>
      <c r="F10" s="10">
        <f>IF(D10="","",E10-R10-S10-W10-X10)</f>
        <v>3</v>
      </c>
      <c r="G10" s="10">
        <f>IF(D10="","",SUM(J10:M10))</f>
        <v>1</v>
      </c>
      <c r="H10" s="9"/>
      <c r="I10" s="9"/>
      <c r="J10" s="9">
        <v>1</v>
      </c>
      <c r="K10" s="9"/>
      <c r="L10" s="9"/>
      <c r="M10" s="9"/>
      <c r="N10" s="9"/>
      <c r="O10" s="9"/>
      <c r="P10" s="9"/>
      <c r="Q10" s="9"/>
      <c r="R10" s="9"/>
      <c r="S10" s="9">
        <v>1</v>
      </c>
      <c r="T10" s="9"/>
      <c r="U10" s="9">
        <v>1</v>
      </c>
      <c r="V10" s="9"/>
      <c r="W10" s="9"/>
      <c r="X10" s="9"/>
      <c r="Y10" s="9">
        <v>1</v>
      </c>
      <c r="Z10" s="9">
        <v>1</v>
      </c>
      <c r="AA10" s="9"/>
      <c r="AB10" s="10">
        <f>IF(AC10="","",VLOOKUP(AC10,データ!A:C,2,FALSE))</f>
        <v>21</v>
      </c>
      <c r="AC10" s="7" t="s">
        <v>79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5</v>
      </c>
      <c r="AK10" s="9"/>
      <c r="AL10" s="9">
        <v>96</v>
      </c>
      <c r="AM10" s="9">
        <v>1</v>
      </c>
      <c r="AN10" s="9">
        <v>1</v>
      </c>
      <c r="AO10" s="9">
        <v>23</v>
      </c>
      <c r="AP10" s="9">
        <v>5</v>
      </c>
      <c r="AQ10" s="9">
        <v>3</v>
      </c>
      <c r="AR10" s="9"/>
      <c r="AS10" s="9">
        <v>1</v>
      </c>
      <c r="AT10" s="9">
        <v>3</v>
      </c>
      <c r="AU10" s="9"/>
    </row>
    <row r="11" spans="1:47" x14ac:dyDescent="0.7">
      <c r="A11" s="2">
        <v>2</v>
      </c>
      <c r="B11" s="8" t="s">
        <v>109</v>
      </c>
      <c r="C11" s="10">
        <f>IF(D11="","",VLOOKUP(D11,データ!A:C,2,FALSE))</f>
        <v>12</v>
      </c>
      <c r="D11" s="7" t="s">
        <v>75</v>
      </c>
      <c r="E11" s="9">
        <v>4</v>
      </c>
      <c r="F11" s="10">
        <f t="shared" ref="F11:F29" si="0">IF(D11="","",E11-R11-S11-W11-X11)</f>
        <v>3</v>
      </c>
      <c r="G11" s="10">
        <f t="shared" ref="G11:G29" si="1">IF(D11="","",SUM(J11:M11))</f>
        <v>1</v>
      </c>
      <c r="H11" s="9">
        <v>1</v>
      </c>
      <c r="I11" s="9"/>
      <c r="J11" s="9"/>
      <c r="K11" s="9">
        <v>1</v>
      </c>
      <c r="L11" s="9"/>
      <c r="M11" s="9"/>
      <c r="N11" s="9"/>
      <c r="O11" s="9"/>
      <c r="P11" s="9"/>
      <c r="Q11" s="9">
        <v>1</v>
      </c>
      <c r="R11" s="9">
        <v>1</v>
      </c>
      <c r="S11" s="9"/>
      <c r="T11" s="9"/>
      <c r="U11" s="9"/>
      <c r="V11" s="9">
        <v>1</v>
      </c>
      <c r="W11" s="9"/>
      <c r="X11" s="9"/>
      <c r="Y11" s="9">
        <v>2</v>
      </c>
      <c r="Z11" s="9"/>
      <c r="AA11" s="9"/>
      <c r="AB11" s="10">
        <f>IF(AC11="","",VLOOKUP(AC11,データ!A:C,2,FALSE))</f>
        <v>1</v>
      </c>
      <c r="AC11" s="7" t="s">
        <v>81</v>
      </c>
      <c r="AD11" s="10">
        <f t="shared" ref="AD11:AD29" si="2">IF(AC11="","",IF(AJ11="",0,1))</f>
        <v>1</v>
      </c>
      <c r="AE11" s="9"/>
      <c r="AF11" s="9">
        <v>1</v>
      </c>
      <c r="AG11" s="9"/>
      <c r="AH11" s="9"/>
      <c r="AI11" s="9"/>
      <c r="AJ11" s="9">
        <v>2</v>
      </c>
      <c r="AK11" s="9"/>
      <c r="AL11" s="9">
        <v>45</v>
      </c>
      <c r="AM11" s="9">
        <v>4</v>
      </c>
      <c r="AN11" s="9">
        <v>3</v>
      </c>
      <c r="AO11" s="9">
        <v>13</v>
      </c>
      <c r="AP11" s="9">
        <v>2</v>
      </c>
      <c r="AQ11" s="9">
        <v>1</v>
      </c>
      <c r="AR11" s="9">
        <v>1</v>
      </c>
      <c r="AS11" s="9">
        <v>1</v>
      </c>
      <c r="AT11" s="9">
        <v>4</v>
      </c>
      <c r="AU11" s="9"/>
    </row>
    <row r="12" spans="1:47" x14ac:dyDescent="0.7">
      <c r="A12" s="2">
        <v>3</v>
      </c>
      <c r="B12" s="8" t="s">
        <v>101</v>
      </c>
      <c r="C12" s="10">
        <f>IF(D12="","",VLOOKUP(D12,データ!A:C,2,FALSE))</f>
        <v>21</v>
      </c>
      <c r="D12" s="7" t="s">
        <v>79</v>
      </c>
      <c r="E12" s="9">
        <v>3</v>
      </c>
      <c r="F12" s="10">
        <f t="shared" si="0"/>
        <v>3</v>
      </c>
      <c r="G12" s="10">
        <f t="shared" si="1"/>
        <v>0</v>
      </c>
      <c r="H12" s="9">
        <v>2</v>
      </c>
      <c r="I12" s="9"/>
      <c r="J12" s="9"/>
      <c r="K12" s="9"/>
      <c r="L12" s="9"/>
      <c r="M12" s="9"/>
      <c r="N12" s="9"/>
      <c r="O12" s="9"/>
      <c r="P12" s="9"/>
      <c r="Q12" s="9">
        <v>1</v>
      </c>
      <c r="R12" s="9"/>
      <c r="S12" s="9"/>
      <c r="T12" s="9"/>
      <c r="U12" s="9"/>
      <c r="V12" s="9"/>
      <c r="W12" s="9"/>
      <c r="X12" s="9"/>
      <c r="Y12" s="9">
        <v>4</v>
      </c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 t="s">
        <v>103</v>
      </c>
      <c r="C13" s="10">
        <f>IF(D13="","",VLOOKUP(D13,データ!A:C,2,FALSE))</f>
        <v>25</v>
      </c>
      <c r="D13" s="7" t="s">
        <v>69</v>
      </c>
      <c r="E13" s="9">
        <v>3</v>
      </c>
      <c r="F13" s="10">
        <f t="shared" si="0"/>
        <v>2</v>
      </c>
      <c r="G13" s="10">
        <f t="shared" si="1"/>
        <v>0</v>
      </c>
      <c r="H13" s="9"/>
      <c r="I13" s="9"/>
      <c r="J13" s="9"/>
      <c r="K13" s="9"/>
      <c r="L13" s="9"/>
      <c r="M13" s="9"/>
      <c r="N13" s="9"/>
      <c r="O13" s="9"/>
      <c r="P13" s="9"/>
      <c r="Q13" s="9">
        <v>1</v>
      </c>
      <c r="R13" s="9">
        <v>1</v>
      </c>
      <c r="S13" s="9"/>
      <c r="T13" s="9"/>
      <c r="U13" s="9"/>
      <c r="V13" s="9"/>
      <c r="W13" s="9"/>
      <c r="X13" s="9"/>
      <c r="Y13" s="9">
        <v>5</v>
      </c>
      <c r="Z13" s="9">
        <v>1</v>
      </c>
      <c r="AA13" s="9"/>
      <c r="AB13" s="10" t="str">
        <f>IF(AC13="","",VLOOKUP(AC13,データ!A:C,2,FALSE))</f>
        <v/>
      </c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 t="s">
        <v>108</v>
      </c>
      <c r="C14" s="10">
        <f>IF(D14="","",VLOOKUP(D14,データ!A:C,2,FALSE))</f>
        <v>9</v>
      </c>
      <c r="D14" s="7" t="s">
        <v>56</v>
      </c>
      <c r="E14" s="9">
        <v>3</v>
      </c>
      <c r="F14" s="10">
        <f t="shared" si="0"/>
        <v>2</v>
      </c>
      <c r="G14" s="10">
        <f t="shared" si="1"/>
        <v>0</v>
      </c>
      <c r="H14" s="9">
        <v>1</v>
      </c>
      <c r="I14" s="9"/>
      <c r="J14" s="9"/>
      <c r="K14" s="9"/>
      <c r="L14" s="9"/>
      <c r="M14" s="9"/>
      <c r="N14" s="9"/>
      <c r="O14" s="9"/>
      <c r="P14" s="9">
        <v>1</v>
      </c>
      <c r="Q14" s="9">
        <v>1</v>
      </c>
      <c r="R14" s="9">
        <v>1</v>
      </c>
      <c r="S14" s="9"/>
      <c r="T14" s="9"/>
      <c r="U14" s="9"/>
      <c r="V14" s="9"/>
      <c r="W14" s="9"/>
      <c r="X14" s="9"/>
      <c r="Y14" s="9"/>
      <c r="Z14" s="9"/>
      <c r="AA14" s="9">
        <v>2</v>
      </c>
      <c r="AB14" s="10" t="str">
        <f>IF(AC14="","",VLOOKUP(AC14,データ!A:C,2,FALSE))</f>
        <v/>
      </c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 t="s">
        <v>104</v>
      </c>
      <c r="C15" s="10">
        <f>IF(D15="","",VLOOKUP(D15,データ!A:C,2,FALSE))</f>
        <v>51</v>
      </c>
      <c r="D15" s="7" t="s">
        <v>61</v>
      </c>
      <c r="E15" s="9">
        <v>2</v>
      </c>
      <c r="F15" s="10">
        <f t="shared" si="0"/>
        <v>2</v>
      </c>
      <c r="G15" s="10">
        <f t="shared" si="1"/>
        <v>0</v>
      </c>
      <c r="H15" s="9"/>
      <c r="I15" s="9"/>
      <c r="J15" s="9"/>
      <c r="K15" s="9"/>
      <c r="L15" s="9"/>
      <c r="M15" s="9"/>
      <c r="N15" s="9">
        <v>1</v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10" t="str">
        <f>IF(AC15="","",VLOOKUP(AC15,データ!A:C,2,FALSE))</f>
        <v/>
      </c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 t="s">
        <v>105</v>
      </c>
      <c r="C16" s="10">
        <f>IF(D16="","",VLOOKUP(D16,データ!A:C,2,FALSE))</f>
        <v>27</v>
      </c>
      <c r="D16" s="7" t="s">
        <v>77</v>
      </c>
      <c r="E16" s="9">
        <v>3</v>
      </c>
      <c r="F16" s="10">
        <f t="shared" si="0"/>
        <v>2</v>
      </c>
      <c r="G16" s="10">
        <f t="shared" si="1"/>
        <v>1</v>
      </c>
      <c r="H16" s="9">
        <v>1</v>
      </c>
      <c r="I16" s="9">
        <v>1</v>
      </c>
      <c r="J16" s="9">
        <v>1</v>
      </c>
      <c r="K16" s="9"/>
      <c r="L16" s="9"/>
      <c r="M16" s="9"/>
      <c r="N16" s="9"/>
      <c r="O16" s="9">
        <v>1</v>
      </c>
      <c r="P16" s="9"/>
      <c r="Q16" s="9"/>
      <c r="R16" s="9">
        <v>1</v>
      </c>
      <c r="S16" s="9"/>
      <c r="T16" s="9"/>
      <c r="U16" s="9"/>
      <c r="V16" s="9"/>
      <c r="W16" s="9"/>
      <c r="X16" s="9"/>
      <c r="Y16" s="9">
        <v>7</v>
      </c>
      <c r="Z16" s="9"/>
      <c r="AA16" s="9"/>
      <c r="AB16" s="10" t="str">
        <f>IF(AC16="","",VLOOKUP(AC16,データ!A:C,2,FALSE))</f>
        <v/>
      </c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 t="s">
        <v>106</v>
      </c>
      <c r="C17" s="10">
        <f>IF(D17="","",VLOOKUP(D17,データ!A:C,2,FALSE))</f>
        <v>26</v>
      </c>
      <c r="D17" s="7" t="s">
        <v>67</v>
      </c>
      <c r="E17" s="9">
        <v>3</v>
      </c>
      <c r="F17" s="10">
        <f t="shared" si="0"/>
        <v>2</v>
      </c>
      <c r="G17" s="10">
        <f t="shared" si="1"/>
        <v>0</v>
      </c>
      <c r="H17" s="9"/>
      <c r="I17" s="9"/>
      <c r="J17" s="9"/>
      <c r="K17" s="9"/>
      <c r="L17" s="9"/>
      <c r="M17" s="9"/>
      <c r="N17" s="9"/>
      <c r="O17" s="9"/>
      <c r="P17" s="9"/>
      <c r="Q17" s="9">
        <v>1</v>
      </c>
      <c r="R17" s="9">
        <v>1</v>
      </c>
      <c r="S17" s="9"/>
      <c r="T17" s="9"/>
      <c r="U17" s="9"/>
      <c r="V17" s="9"/>
      <c r="W17" s="9"/>
      <c r="X17" s="9"/>
      <c r="Y17" s="9">
        <v>1</v>
      </c>
      <c r="Z17" s="9">
        <v>2</v>
      </c>
      <c r="AA17" s="9">
        <v>3</v>
      </c>
      <c r="AB17" s="10" t="str">
        <f>IF(AC17="","",VLOOKUP(AC17,データ!A:C,2,FALSE))</f>
        <v/>
      </c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ht="14.25" x14ac:dyDescent="0.7">
      <c r="A18" s="2">
        <v>9</v>
      </c>
      <c r="B18" s="8" t="s">
        <v>107</v>
      </c>
      <c r="C18" s="10">
        <f>IF(D18="","",VLOOKUP(D18,データ!A:C,2,FALSE))</f>
        <v>99</v>
      </c>
      <c r="D18" s="7" t="s">
        <v>59</v>
      </c>
      <c r="E18" s="9">
        <v>3</v>
      </c>
      <c r="F18" s="10">
        <f t="shared" si="0"/>
        <v>2</v>
      </c>
      <c r="G18" s="10">
        <f t="shared" si="1"/>
        <v>0</v>
      </c>
      <c r="H18" s="9">
        <v>1</v>
      </c>
      <c r="I18" s="9"/>
      <c r="J18" s="9"/>
      <c r="K18" s="9"/>
      <c r="L18" s="9"/>
      <c r="M18" s="9"/>
      <c r="N18" s="9"/>
      <c r="O18" s="9"/>
      <c r="P18" s="9"/>
      <c r="Q18" s="9"/>
      <c r="R18" s="9">
        <v>1</v>
      </c>
      <c r="S18" s="9"/>
      <c r="T18" s="9"/>
      <c r="U18" s="9"/>
      <c r="V18" s="9"/>
      <c r="W18" s="9"/>
      <c r="X18" s="9"/>
      <c r="Y18" s="9">
        <v>1</v>
      </c>
      <c r="Z18" s="9"/>
      <c r="AA18" s="9">
        <v>1</v>
      </c>
      <c r="AB18" s="10" t="str">
        <f>IF(AC18="","",VLOOKUP(AC18,データ!A:C,2,FALSE))</f>
        <v/>
      </c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101</v>
      </c>
      <c r="C19" s="10">
        <f>IF(D19="","",VLOOKUP(D19,データ!A:C,2,FALSE))</f>
        <v>1</v>
      </c>
      <c r="D19" s="7" t="s">
        <v>81</v>
      </c>
      <c r="E19" s="9"/>
      <c r="F19" s="10">
        <f t="shared" si="0"/>
        <v>0</v>
      </c>
      <c r="G19" s="10">
        <f t="shared" si="1"/>
        <v>0</v>
      </c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>
        <v>1</v>
      </c>
      <c r="AA19" s="9"/>
      <c r="AB19" s="10" t="str">
        <f>IF(AC19="","",VLOOKUP(AC19,データ!A:C,2,FALSE))</f>
        <v/>
      </c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104</v>
      </c>
      <c r="C20" s="10">
        <f>IF(D20="","",VLOOKUP(D20,データ!A:C,2,FALSE))</f>
        <v>5</v>
      </c>
      <c r="D20" s="7" t="s">
        <v>57</v>
      </c>
      <c r="E20" s="9">
        <v>1</v>
      </c>
      <c r="F20" s="10">
        <f t="shared" si="0"/>
        <v>1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 t="str">
        <f>IF(D22="","",VLOOKUP(D22,データ!A:C,2,FALSE))</f>
        <v/>
      </c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 t="str">
        <f>IF(D23="","",VLOOKUP(D23,データ!A:C,2,FALSE))</f>
        <v/>
      </c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 t="str">
        <f>IF(D24="","",VLOOKUP(D24,データ!A:C,2,FALSE))</f>
        <v/>
      </c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 t="str">
        <f>IF(D25="","",VLOOKUP(D25,データ!A:C,2,FALSE))</f>
        <v/>
      </c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 t="str">
        <f>IF(D26="","",VLOOKUP(D26,データ!A:C,2,FALSE))</f>
        <v/>
      </c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29</v>
      </c>
      <c r="F30" s="1">
        <f t="shared" si="3"/>
        <v>22</v>
      </c>
      <c r="G30" s="1">
        <f t="shared" si="3"/>
        <v>3</v>
      </c>
      <c r="H30" s="1">
        <f t="shared" si="3"/>
        <v>6</v>
      </c>
      <c r="I30" s="1">
        <f t="shared" si="3"/>
        <v>1</v>
      </c>
      <c r="J30" s="1">
        <f t="shared" si="3"/>
        <v>2</v>
      </c>
      <c r="K30" s="1">
        <f t="shared" si="3"/>
        <v>1</v>
      </c>
      <c r="L30" s="1">
        <f t="shared" si="3"/>
        <v>0</v>
      </c>
      <c r="M30" s="1">
        <f t="shared" si="3"/>
        <v>0</v>
      </c>
      <c r="N30" s="1">
        <f t="shared" si="3"/>
        <v>1</v>
      </c>
      <c r="O30" s="1">
        <f t="shared" si="3"/>
        <v>1</v>
      </c>
      <c r="P30" s="1">
        <f t="shared" si="3"/>
        <v>1</v>
      </c>
      <c r="Q30" s="1">
        <f t="shared" si="3"/>
        <v>5</v>
      </c>
      <c r="R30" s="1">
        <f t="shared" si="3"/>
        <v>6</v>
      </c>
      <c r="S30" s="1">
        <f t="shared" si="3"/>
        <v>1</v>
      </c>
      <c r="T30" s="1">
        <f t="shared" si="3"/>
        <v>0</v>
      </c>
      <c r="U30" s="1">
        <f t="shared" si="3"/>
        <v>1</v>
      </c>
      <c r="V30" s="1">
        <f t="shared" si="3"/>
        <v>1</v>
      </c>
      <c r="W30" s="1">
        <f t="shared" si="3"/>
        <v>0</v>
      </c>
      <c r="X30" s="1">
        <f t="shared" si="3"/>
        <v>0</v>
      </c>
      <c r="Y30" s="1">
        <f t="shared" si="3"/>
        <v>21</v>
      </c>
      <c r="Z30" s="1">
        <f t="shared" si="3"/>
        <v>5</v>
      </c>
      <c r="AA30" s="1">
        <f t="shared" si="3"/>
        <v>6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141</v>
      </c>
      <c r="AM30" s="1">
        <f t="shared" si="4"/>
        <v>5</v>
      </c>
      <c r="AN30" s="1">
        <f t="shared" si="4"/>
        <v>4</v>
      </c>
      <c r="AO30" s="1">
        <f t="shared" si="4"/>
        <v>36</v>
      </c>
      <c r="AP30" s="1">
        <f t="shared" si="4"/>
        <v>7</v>
      </c>
      <c r="AQ30" s="1">
        <f t="shared" si="4"/>
        <v>4</v>
      </c>
      <c r="AR30" s="1">
        <f>SUM(AR10:AR29)</f>
        <v>1</v>
      </c>
      <c r="AS30" s="1">
        <f>SUM(AS10:AS29)</f>
        <v>2</v>
      </c>
      <c r="AT30" s="1">
        <f>SUM(AT10:AT29)</f>
        <v>7</v>
      </c>
      <c r="AU30" s="1">
        <f t="shared" si="4"/>
        <v>0</v>
      </c>
    </row>
    <row r="31" spans="1:47" ht="14.25" x14ac:dyDescent="0.7">
      <c r="D31" s="1">
        <f>G30/F30</f>
        <v>0.13636363636363635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1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2</v>
      </c>
      <c r="AK41" s="1">
        <f t="shared" si="7"/>
        <v>0</v>
      </c>
      <c r="AL41" s="1">
        <f t="shared" si="7"/>
        <v>45</v>
      </c>
      <c r="AM41" s="1">
        <f t="shared" si="7"/>
        <v>4</v>
      </c>
      <c r="AN41" s="1">
        <f t="shared" si="7"/>
        <v>3</v>
      </c>
      <c r="AO41" s="1">
        <f t="shared" si="7"/>
        <v>13</v>
      </c>
      <c r="AP41" s="1">
        <f t="shared" si="7"/>
        <v>2</v>
      </c>
      <c r="AQ41" s="1">
        <f t="shared" si="7"/>
        <v>1</v>
      </c>
      <c r="AR41" s="1">
        <f t="shared" si="7"/>
        <v>1</v>
      </c>
      <c r="AS41" s="1">
        <f t="shared" si="7"/>
        <v>1</v>
      </c>
      <c r="AT41" s="1">
        <f t="shared" ref="AN41:AU56" si="8">IFERROR(VLOOKUP($D41,$AC$10:$AU$29,AT$71,FALSE),0)</f>
        <v>4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1</v>
      </c>
      <c r="F43" s="1">
        <f t="shared" si="5"/>
        <v>1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3</v>
      </c>
      <c r="F45" s="1">
        <f t="shared" si="5"/>
        <v>2</v>
      </c>
      <c r="G45" s="1">
        <f t="shared" si="5"/>
        <v>0</v>
      </c>
      <c r="H45" s="1">
        <f t="shared" si="5"/>
        <v>1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1</v>
      </c>
      <c r="Q45" s="1">
        <f t="shared" si="5"/>
        <v>1</v>
      </c>
      <c r="R45" s="1">
        <f t="shared" si="5"/>
        <v>1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2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4</v>
      </c>
      <c r="F48" s="1">
        <f t="shared" si="5"/>
        <v>3</v>
      </c>
      <c r="G48" s="1">
        <f t="shared" si="5"/>
        <v>1</v>
      </c>
      <c r="H48" s="1">
        <f t="shared" si="5"/>
        <v>1</v>
      </c>
      <c r="I48" s="1">
        <f t="shared" si="5"/>
        <v>0</v>
      </c>
      <c r="J48" s="1">
        <f t="shared" si="5"/>
        <v>0</v>
      </c>
      <c r="K48" s="1">
        <f t="shared" si="5"/>
        <v>1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1</v>
      </c>
      <c r="R48" s="1">
        <f t="shared" si="5"/>
        <v>1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1</v>
      </c>
      <c r="W48" s="1">
        <f t="shared" si="6"/>
        <v>0</v>
      </c>
      <c r="X48" s="1">
        <f t="shared" si="6"/>
        <v>0</v>
      </c>
      <c r="Y48" s="1">
        <f t="shared" si="6"/>
        <v>2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3</v>
      </c>
      <c r="F51" s="1">
        <f t="shared" si="5"/>
        <v>3</v>
      </c>
      <c r="G51" s="1">
        <f t="shared" si="5"/>
        <v>0</v>
      </c>
      <c r="H51" s="1">
        <f t="shared" si="5"/>
        <v>2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1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4</v>
      </c>
      <c r="Z51" s="1">
        <f t="shared" si="6"/>
        <v>0</v>
      </c>
      <c r="AA51" s="1">
        <f t="shared" si="6"/>
        <v>0</v>
      </c>
      <c r="AD51" s="1">
        <f t="shared" si="7"/>
        <v>1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5</v>
      </c>
      <c r="AK51" s="1">
        <f t="shared" si="7"/>
        <v>0</v>
      </c>
      <c r="AL51" s="1">
        <f t="shared" si="7"/>
        <v>96</v>
      </c>
      <c r="AM51" s="1">
        <f t="shared" si="7"/>
        <v>1</v>
      </c>
      <c r="AN51" s="1">
        <f t="shared" si="7"/>
        <v>1</v>
      </c>
      <c r="AO51" s="1">
        <f t="shared" si="7"/>
        <v>23</v>
      </c>
      <c r="AP51" s="1">
        <f t="shared" si="7"/>
        <v>5</v>
      </c>
      <c r="AQ51" s="1">
        <f t="shared" si="7"/>
        <v>3</v>
      </c>
      <c r="AR51" s="1">
        <f t="shared" si="7"/>
        <v>0</v>
      </c>
      <c r="AS51" s="1">
        <f t="shared" si="7"/>
        <v>1</v>
      </c>
      <c r="AT51" s="1">
        <f t="shared" si="8"/>
        <v>3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3</v>
      </c>
      <c r="G56" s="1">
        <f t="shared" si="5"/>
        <v>1</v>
      </c>
      <c r="H56" s="1">
        <f t="shared" si="5"/>
        <v>0</v>
      </c>
      <c r="I56" s="1">
        <f t="shared" si="5"/>
        <v>0</v>
      </c>
      <c r="J56" s="1">
        <f t="shared" si="5"/>
        <v>1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0</v>
      </c>
      <c r="Q56" s="1">
        <f t="shared" si="5"/>
        <v>0</v>
      </c>
      <c r="R56" s="1">
        <f t="shared" si="5"/>
        <v>0</v>
      </c>
      <c r="S56" s="1">
        <f t="shared" si="5"/>
        <v>1</v>
      </c>
      <c r="T56" s="1">
        <f t="shared" ref="T56" si="9">IFERROR(VLOOKUP($D56,$D$10:$AA$29,T$71,FALSE),0)</f>
        <v>0</v>
      </c>
      <c r="U56" s="1">
        <f t="shared" si="6"/>
        <v>1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1</v>
      </c>
      <c r="Z56" s="1">
        <f t="shared" si="6"/>
        <v>1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2</v>
      </c>
      <c r="F60" s="1">
        <f t="shared" si="10"/>
        <v>2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1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0</v>
      </c>
      <c r="F61" s="1">
        <f t="shared" si="10"/>
        <v>0</v>
      </c>
      <c r="G61" s="1">
        <f t="shared" si="10"/>
        <v>0</v>
      </c>
      <c r="H61" s="1">
        <f t="shared" si="10"/>
        <v>0</v>
      </c>
      <c r="I61" s="1">
        <f t="shared" si="10"/>
        <v>0</v>
      </c>
      <c r="J61" s="1">
        <f t="shared" si="10"/>
        <v>0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3</v>
      </c>
      <c r="F63" s="1">
        <f t="shared" si="10"/>
        <v>2</v>
      </c>
      <c r="G63" s="1">
        <f t="shared" si="10"/>
        <v>0</v>
      </c>
      <c r="H63" s="1">
        <f t="shared" si="10"/>
        <v>1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1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1</v>
      </c>
      <c r="Z63" s="1">
        <f t="shared" si="11"/>
        <v>0</v>
      </c>
      <c r="AA63" s="1">
        <f t="shared" si="11"/>
        <v>1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AH2:AU2"/>
    <mergeCell ref="AH1:AU1"/>
    <mergeCell ref="AB8:AU8"/>
    <mergeCell ref="C4:C6"/>
    <mergeCell ref="D4:F4"/>
    <mergeCell ref="D5:F5"/>
    <mergeCell ref="D6:F6"/>
    <mergeCell ref="A8:AA8"/>
    <mergeCell ref="A1:D1"/>
    <mergeCell ref="E1:O1"/>
    <mergeCell ref="P1:AB1"/>
    <mergeCell ref="AC1:AG1"/>
    <mergeCell ref="A2:D2"/>
    <mergeCell ref="E2:O2"/>
    <mergeCell ref="P2:AB2"/>
    <mergeCell ref="AE2:AG2"/>
  </mergeCells>
  <phoneticPr fontId="2"/>
  <dataValidations count="5">
    <dataValidation type="list" allowBlank="1" showInputMessage="1" showErrorMessage="1" promptTitle="勝敗" prompt="勝敗を選択してください" sqref="C4:C6" xr:uid="{E2E22678-3209-406A-ABBC-A3132DD08FBD}">
      <formula1>"○,●,△"</formula1>
    </dataValidation>
    <dataValidation type="date" allowBlank="1" showInputMessage="1" showErrorMessage="1" promptTitle="日付入力" prompt="日付を入力してください" sqref="A2:D2" xr:uid="{1C704A00-D6FB-4126-92ED-F939914B02C0}">
      <formula1>45017</formula1>
      <formula2>45747</formula2>
    </dataValidation>
    <dataValidation type="time" allowBlank="1" showInputMessage="1" showErrorMessage="1" promptTitle="試合開始時間" prompt="試合開始時間を入力してください" sqref="AC2" xr:uid="{47123834-BFBF-4859-BDA7-E9D0BDE373FA}">
      <formula1>0</formula1>
      <formula2>0.999305555555556</formula2>
    </dataValidation>
    <dataValidation type="time" allowBlank="1" showInputMessage="1" showErrorMessage="1" promptTitle="試合終了時間" prompt="試合終了時間を入力してください" sqref="AE2:AG2" xr:uid="{7F253D41-AFE1-48E8-8742-7BF5EC30BAC8}">
      <formula1>0</formula1>
      <formula2>0.999305555555556</formula2>
    </dataValidation>
    <dataValidation type="list" allowBlank="1" showInputMessage="1" showErrorMessage="1" promptTitle="守備位置" prompt="守備位置を選択してください" sqref="B10:B29" xr:uid="{E04937A4-7B91-433F-91E8-47F00BC5B128}">
      <formula1>"投,捕,一,二,三,遊,左,中,右,DH,PH,PR"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大会名" prompt="大会名を選択してください" xr:uid="{E237A709-ED73-4E5C-9C86-2C90E3327BD7}">
          <x14:formula1>
            <xm:f>データ!$E:$E</xm:f>
          </x14:formula1>
          <xm:sqref>E2:O2</xm:sqref>
        </x14:dataValidation>
        <x14:dataValidation type="list" allowBlank="1" showInputMessage="1" showErrorMessage="1" promptTitle="対戦相手" prompt="対戦相手を選択してください" xr:uid="{41ACD670-612B-482E-B854-8352D1A2216A}">
          <x14:formula1>
            <xm:f>データ!$G:$G</xm:f>
          </x14:formula1>
          <xm:sqref>P2:AB2</xm:sqref>
        </x14:dataValidation>
        <x14:dataValidation type="list" allowBlank="1" showInputMessage="1" showErrorMessage="1" promptTitle="球場名" prompt="球場名を選択してください" xr:uid="{6CF18134-8E5A-4A14-9B38-B7B9DC462B3A}">
          <x14:formula1>
            <xm:f>データ!$I:$I</xm:f>
          </x14:formula1>
          <xm:sqref>AH2</xm:sqref>
        </x14:dataValidation>
        <x14:dataValidation type="list" allowBlank="1" showInputMessage="1" showErrorMessage="1" promptTitle="先攻" prompt="先攻チームを選択してください" xr:uid="{BFB8E9B5-3192-4A33-8ED3-FB8404163C9C}">
          <x14:formula1>
            <xm:f>データ!$G:$G</xm:f>
          </x14:formula1>
          <xm:sqref>D5</xm:sqref>
        </x14:dataValidation>
        <x14:dataValidation type="list" allowBlank="1" showInputMessage="1" showErrorMessage="1" promptTitle="後攻" prompt="後攻チームを選択してください" xr:uid="{25F3239C-2D1B-48D4-83C5-F1013529BF57}">
          <x14:formula1>
            <xm:f>データ!$G:$G</xm:f>
          </x14:formula1>
          <xm:sqref>D6</xm:sqref>
        </x14:dataValidation>
        <x14:dataValidation type="list" allowBlank="1" showInputMessage="1" showErrorMessage="1" promptTitle="選手名" prompt="選手目を選択してください" xr:uid="{7EA97740-672B-4B37-B5A2-55FBCE43447F}">
          <x14:formula1>
            <xm:f>データ!$A:$A</xm:f>
          </x14:formula1>
          <xm:sqref>D10:D29 AC10:AC29 D41:D70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B9E34-2EB2-4DA9-9826-90E08761A540}">
  <sheetPr codeName="Sheet20">
    <pageSetUpPr fitToPage="1"/>
  </sheetPr>
  <dimension ref="A1:AU71"/>
  <sheetViews>
    <sheetView zoomScale="70" zoomScaleNormal="70" workbookViewId="0">
      <selection sqref="A1:D1"/>
    </sheetView>
  </sheetViews>
  <sheetFormatPr defaultColWidth="8.6875" defaultRowHeight="17.649999999999999" x14ac:dyDescent="0.7"/>
  <cols>
    <col min="1" max="1" width="2.5625" style="1" bestFit="1" customWidth="1"/>
    <col min="2" max="2" width="3.1875" style="1" bestFit="1" customWidth="1"/>
    <col min="3" max="3" width="3.9375" style="1" customWidth="1"/>
    <col min="4" max="4" width="12.5" style="1" customWidth="1"/>
    <col min="5" max="28" width="3.9375" style="1" customWidth="1"/>
    <col min="29" max="29" width="12.5" style="1" customWidth="1"/>
    <col min="30" max="37" width="3.9375" style="1" customWidth="1"/>
    <col min="38" max="38" width="5.1875" style="1" customWidth="1"/>
    <col min="39" max="47" width="3.9375" style="1" customWidth="1"/>
    <col min="48" max="16384" width="8.6875" style="1"/>
  </cols>
  <sheetData>
    <row r="1" spans="1:47" x14ac:dyDescent="0.7">
      <c r="A1" s="76" t="s">
        <v>51</v>
      </c>
      <c r="B1" s="76"/>
      <c r="C1" s="76"/>
      <c r="D1" s="76"/>
      <c r="E1" s="76" t="s">
        <v>50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 t="s">
        <v>49</v>
      </c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84" t="s">
        <v>48</v>
      </c>
      <c r="AD1" s="84"/>
      <c r="AE1" s="84"/>
      <c r="AF1" s="84"/>
      <c r="AG1" s="84"/>
      <c r="AH1" s="86" t="s">
        <v>47</v>
      </c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8"/>
    </row>
    <row r="2" spans="1:47" x14ac:dyDescent="0.7">
      <c r="A2" s="96">
        <v>45213</v>
      </c>
      <c r="B2" s="96"/>
      <c r="C2" s="96"/>
      <c r="D2" s="96"/>
      <c r="E2" s="95" t="s">
        <v>91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 t="s">
        <v>87</v>
      </c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89"/>
      <c r="AC2" s="11">
        <v>0.64583333333333337</v>
      </c>
      <c r="AD2" s="17" t="s">
        <v>46</v>
      </c>
      <c r="AE2" s="92">
        <v>0.72916666666666663</v>
      </c>
      <c r="AF2" s="93"/>
      <c r="AG2" s="94"/>
      <c r="AH2" s="89" t="s">
        <v>89</v>
      </c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1"/>
    </row>
    <row r="3" spans="1:47" ht="18" thickBot="1" x14ac:dyDescent="0.75"/>
    <row r="4" spans="1:47" ht="14.55" customHeight="1" x14ac:dyDescent="0.7">
      <c r="C4" s="95" t="s">
        <v>102</v>
      </c>
      <c r="D4" s="76" t="s">
        <v>45</v>
      </c>
      <c r="E4" s="76"/>
      <c r="F4" s="76"/>
      <c r="G4" s="2">
        <v>1</v>
      </c>
      <c r="H4" s="2">
        <v>2</v>
      </c>
      <c r="I4" s="2">
        <v>3</v>
      </c>
      <c r="J4" s="2">
        <v>4</v>
      </c>
      <c r="K4" s="2">
        <v>5</v>
      </c>
      <c r="L4" s="2">
        <v>6</v>
      </c>
      <c r="M4" s="2">
        <v>7</v>
      </c>
      <c r="N4" s="2">
        <v>8</v>
      </c>
      <c r="O4" s="2">
        <v>9</v>
      </c>
      <c r="P4" s="2">
        <v>10</v>
      </c>
      <c r="Q4" s="2">
        <v>11</v>
      </c>
      <c r="R4" s="2">
        <v>12</v>
      </c>
      <c r="S4" s="2">
        <v>13</v>
      </c>
      <c r="T4" s="3" t="s">
        <v>44</v>
      </c>
      <c r="U4" s="3" t="s">
        <v>43</v>
      </c>
      <c r="V4" s="3" t="s">
        <v>42</v>
      </c>
      <c r="AB4" s="12"/>
      <c r="AC4" s="13" t="s">
        <v>93</v>
      </c>
    </row>
    <row r="5" spans="1:47" x14ac:dyDescent="0.7">
      <c r="C5" s="95"/>
      <c r="D5" s="95" t="s">
        <v>87</v>
      </c>
      <c r="E5" s="95"/>
      <c r="F5" s="95"/>
      <c r="G5" s="2">
        <v>1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/>
      <c r="O5" s="2"/>
      <c r="P5" s="2"/>
      <c r="Q5" s="2"/>
      <c r="R5" s="2"/>
      <c r="S5" s="2"/>
      <c r="T5" s="10">
        <f>SUM(G5:S5)</f>
        <v>1</v>
      </c>
      <c r="U5" s="10">
        <f>IF(D5="九州工業大学",G30,AT30)</f>
        <v>1</v>
      </c>
      <c r="V5" s="10">
        <f>IF(D5="九州工業大学",AA30,N30)</f>
        <v>0</v>
      </c>
      <c r="AC5" s="14" t="s">
        <v>94</v>
      </c>
    </row>
    <row r="6" spans="1:47" ht="18" thickBot="1" x14ac:dyDescent="0.75">
      <c r="C6" s="95"/>
      <c r="D6" s="95" t="s">
        <v>90</v>
      </c>
      <c r="E6" s="95"/>
      <c r="F6" s="95"/>
      <c r="G6" s="2">
        <v>0</v>
      </c>
      <c r="H6" s="2">
        <v>0</v>
      </c>
      <c r="I6" s="2">
        <v>0</v>
      </c>
      <c r="J6" s="2">
        <v>0</v>
      </c>
      <c r="K6" s="2">
        <v>1</v>
      </c>
      <c r="L6" s="2">
        <v>1</v>
      </c>
      <c r="M6" s="16" t="s">
        <v>98</v>
      </c>
      <c r="N6" s="2"/>
      <c r="O6" s="2"/>
      <c r="P6" s="2"/>
      <c r="Q6" s="2"/>
      <c r="R6" s="2"/>
      <c r="S6" s="2"/>
      <c r="T6" s="10">
        <f>SUM(G6:S6)</f>
        <v>2</v>
      </c>
      <c r="U6" s="10">
        <f>IF(D6="九州工業大学",G30,AT30)</f>
        <v>1</v>
      </c>
      <c r="V6" s="10">
        <f>IF(D6="九州工業大学",AA30,N30)</f>
        <v>0</v>
      </c>
      <c r="AC6" s="15" t="s">
        <v>95</v>
      </c>
    </row>
    <row r="8" spans="1:47" x14ac:dyDescent="0.7">
      <c r="A8" s="76" t="s">
        <v>41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 t="s">
        <v>40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</row>
    <row r="9" spans="1:47" s="4" customFormat="1" ht="88.15" x14ac:dyDescent="0.7">
      <c r="A9" s="5"/>
      <c r="B9" s="5" t="s">
        <v>39</v>
      </c>
      <c r="C9" s="5" t="s">
        <v>17</v>
      </c>
      <c r="D9" s="5" t="s">
        <v>16</v>
      </c>
      <c r="E9" s="5" t="s">
        <v>5</v>
      </c>
      <c r="F9" s="5" t="s">
        <v>38</v>
      </c>
      <c r="G9" s="5" t="s">
        <v>37</v>
      </c>
      <c r="H9" s="5" t="s">
        <v>36</v>
      </c>
      <c r="I9" s="5" t="s">
        <v>35</v>
      </c>
      <c r="J9" s="5" t="s">
        <v>34</v>
      </c>
      <c r="K9" s="5" t="s">
        <v>33</v>
      </c>
      <c r="L9" s="5" t="s">
        <v>32</v>
      </c>
      <c r="M9" s="5" t="s">
        <v>31</v>
      </c>
      <c r="N9" s="5" t="s">
        <v>96</v>
      </c>
      <c r="O9" s="5" t="s">
        <v>30</v>
      </c>
      <c r="P9" s="5" t="s">
        <v>29</v>
      </c>
      <c r="Q9" s="5" t="s">
        <v>28</v>
      </c>
      <c r="R9" s="5" t="s">
        <v>27</v>
      </c>
      <c r="S9" s="5" t="s">
        <v>26</v>
      </c>
      <c r="T9" s="5" t="s">
        <v>25</v>
      </c>
      <c r="U9" s="5" t="s">
        <v>24</v>
      </c>
      <c r="V9" s="5" t="s">
        <v>23</v>
      </c>
      <c r="W9" s="5" t="s">
        <v>22</v>
      </c>
      <c r="X9" s="5" t="s">
        <v>21</v>
      </c>
      <c r="Y9" s="5" t="s">
        <v>20</v>
      </c>
      <c r="Z9" s="5" t="s">
        <v>19</v>
      </c>
      <c r="AA9" s="5" t="s">
        <v>18</v>
      </c>
      <c r="AB9" s="5" t="s">
        <v>17</v>
      </c>
      <c r="AC9" s="5" t="s">
        <v>16</v>
      </c>
      <c r="AD9" s="5" t="s">
        <v>15</v>
      </c>
      <c r="AE9" s="5" t="s">
        <v>14</v>
      </c>
      <c r="AF9" s="5" t="s">
        <v>13</v>
      </c>
      <c r="AG9" s="5" t="s">
        <v>12</v>
      </c>
      <c r="AH9" s="5" t="s">
        <v>11</v>
      </c>
      <c r="AI9" s="5" t="s">
        <v>10</v>
      </c>
      <c r="AJ9" s="85" t="s">
        <v>9</v>
      </c>
      <c r="AK9" s="85"/>
      <c r="AL9" s="5" t="s">
        <v>8</v>
      </c>
      <c r="AM9" s="5" t="s">
        <v>7</v>
      </c>
      <c r="AN9" s="5" t="s">
        <v>6</v>
      </c>
      <c r="AO9" s="5" t="s">
        <v>5</v>
      </c>
      <c r="AP9" s="5" t="s">
        <v>4</v>
      </c>
      <c r="AQ9" s="5" t="s">
        <v>3</v>
      </c>
      <c r="AR9" s="5" t="s">
        <v>2</v>
      </c>
      <c r="AS9" s="5" t="s">
        <v>112</v>
      </c>
      <c r="AT9" s="5" t="s">
        <v>1</v>
      </c>
      <c r="AU9" s="5" t="s">
        <v>0</v>
      </c>
    </row>
    <row r="10" spans="1:47" x14ac:dyDescent="0.7">
      <c r="A10" s="2">
        <v>1</v>
      </c>
      <c r="B10" s="8" t="s">
        <v>99</v>
      </c>
      <c r="C10" s="10">
        <f>IF(D10="","",VLOOKUP(D10,データ!A:C,2,FALSE))</f>
        <v>33</v>
      </c>
      <c r="D10" s="7" t="s">
        <v>65</v>
      </c>
      <c r="E10" s="9">
        <v>4</v>
      </c>
      <c r="F10" s="10">
        <f>IF(D10="","",E10-R10-S10-W10-X10)</f>
        <v>3</v>
      </c>
      <c r="G10" s="10">
        <f>IF(D10="","",SUM(J10:M10))</f>
        <v>0</v>
      </c>
      <c r="H10" s="9"/>
      <c r="I10" s="9"/>
      <c r="J10" s="9"/>
      <c r="K10" s="9"/>
      <c r="L10" s="9"/>
      <c r="M10" s="9"/>
      <c r="N10" s="9"/>
      <c r="O10" s="9"/>
      <c r="P10" s="9">
        <v>1</v>
      </c>
      <c r="Q10" s="9">
        <v>1</v>
      </c>
      <c r="R10" s="9">
        <v>1</v>
      </c>
      <c r="S10" s="9"/>
      <c r="T10" s="9"/>
      <c r="U10" s="9"/>
      <c r="V10" s="9"/>
      <c r="W10" s="9"/>
      <c r="X10" s="9"/>
      <c r="Y10" s="9">
        <v>3</v>
      </c>
      <c r="Z10" s="9">
        <v>1</v>
      </c>
      <c r="AA10" s="9"/>
      <c r="AB10" s="10">
        <f>IF(AC10="","",VLOOKUP(AC10,データ!A:C,2,FALSE))</f>
        <v>21</v>
      </c>
      <c r="AC10" s="7" t="s">
        <v>79</v>
      </c>
      <c r="AD10" s="10">
        <f>IF(AC10="","",IF(AJ10="",0,1))</f>
        <v>1</v>
      </c>
      <c r="AE10" s="9"/>
      <c r="AF10" s="9"/>
      <c r="AG10" s="9"/>
      <c r="AH10" s="9"/>
      <c r="AI10" s="9"/>
      <c r="AJ10" s="9">
        <v>6</v>
      </c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</row>
    <row r="11" spans="1:47" x14ac:dyDescent="0.7">
      <c r="A11" s="2">
        <v>2</v>
      </c>
      <c r="B11" s="8"/>
      <c r="C11" s="10" t="str">
        <f>IF(D11="","",VLOOKUP(D11,データ!A:C,2,FALSE))</f>
        <v/>
      </c>
      <c r="D11" s="7"/>
      <c r="E11" s="9"/>
      <c r="F11" s="10" t="str">
        <f t="shared" ref="F11:F29" si="0">IF(D11="","",E11-R11-S11-W11-X11)</f>
        <v/>
      </c>
      <c r="G11" s="10" t="str">
        <f t="shared" ref="G11:G29" si="1">IF(D11="","",SUM(J11:M11))</f>
        <v/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10">
        <f>IF(AC11="","",VLOOKUP(AC11,データ!A:C,2,FALSE))</f>
        <v>1</v>
      </c>
      <c r="AC11" s="7" t="s">
        <v>81</v>
      </c>
      <c r="AD11" s="10">
        <f t="shared" ref="AD11:AD29" si="2">IF(AC11="","",IF(AJ11="",0,1))</f>
        <v>1</v>
      </c>
      <c r="AE11" s="9"/>
      <c r="AF11" s="9">
        <v>1</v>
      </c>
      <c r="AG11" s="9"/>
      <c r="AH11" s="9"/>
      <c r="AI11" s="9"/>
      <c r="AJ11" s="9">
        <v>1</v>
      </c>
      <c r="AK11" s="9"/>
      <c r="AL11" s="9"/>
      <c r="AM11" s="9">
        <v>1</v>
      </c>
      <c r="AN11" s="9">
        <v>0</v>
      </c>
      <c r="AO11" s="9">
        <v>6</v>
      </c>
      <c r="AP11" s="9">
        <v>1</v>
      </c>
      <c r="AQ11" s="9">
        <v>2</v>
      </c>
      <c r="AR11" s="9"/>
      <c r="AS11" s="9"/>
      <c r="AT11" s="9">
        <v>1</v>
      </c>
      <c r="AU11" s="9"/>
    </row>
    <row r="12" spans="1:47" x14ac:dyDescent="0.7">
      <c r="A12" s="2">
        <v>3</v>
      </c>
      <c r="B12" s="8"/>
      <c r="C12" s="10" t="str">
        <f>IF(D12="","",VLOOKUP(D12,データ!A:C,2,FALSE))</f>
        <v/>
      </c>
      <c r="D12" s="7"/>
      <c r="E12" s="9"/>
      <c r="F12" s="10" t="str">
        <f t="shared" si="0"/>
        <v/>
      </c>
      <c r="G12" s="10" t="str">
        <f t="shared" si="1"/>
        <v/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10" t="str">
        <f>IF(AC12="","",VLOOKUP(AC12,データ!A:C,2,FALSE))</f>
        <v/>
      </c>
      <c r="AC12" s="7"/>
      <c r="AD12" s="10" t="str">
        <f t="shared" si="2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</row>
    <row r="13" spans="1:47" x14ac:dyDescent="0.7">
      <c r="A13" s="2">
        <v>4</v>
      </c>
      <c r="B13" s="8"/>
      <c r="C13" s="10" t="str">
        <f>IF(D13="","",VLOOKUP(D13,データ!A:C,2,FALSE))</f>
        <v/>
      </c>
      <c r="D13" s="7"/>
      <c r="E13" s="9"/>
      <c r="F13" s="10" t="str">
        <f t="shared" si="0"/>
        <v/>
      </c>
      <c r="G13" s="10" t="str">
        <f t="shared" si="1"/>
        <v/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10"/>
      <c r="AC13" s="7"/>
      <c r="AD13" s="10" t="str">
        <f t="shared" si="2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</row>
    <row r="14" spans="1:47" x14ac:dyDescent="0.7">
      <c r="A14" s="2">
        <v>5</v>
      </c>
      <c r="B14" s="8"/>
      <c r="C14" s="10" t="str">
        <f>IF(D14="","",VLOOKUP(D14,データ!A:C,2,FALSE))</f>
        <v/>
      </c>
      <c r="D14" s="7"/>
      <c r="E14" s="9"/>
      <c r="F14" s="10" t="str">
        <f t="shared" si="0"/>
        <v/>
      </c>
      <c r="G14" s="10" t="str">
        <f t="shared" si="1"/>
        <v/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10"/>
      <c r="AC14" s="7"/>
      <c r="AD14" s="10" t="str">
        <f t="shared" si="2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</row>
    <row r="15" spans="1:47" x14ac:dyDescent="0.7">
      <c r="A15" s="2">
        <v>6</v>
      </c>
      <c r="B15" s="8"/>
      <c r="C15" s="10" t="str">
        <f>IF(D15="","",VLOOKUP(D15,データ!A:C,2,FALSE))</f>
        <v/>
      </c>
      <c r="D15" s="7"/>
      <c r="E15" s="9"/>
      <c r="F15" s="10" t="str">
        <f t="shared" si="0"/>
        <v/>
      </c>
      <c r="G15" s="10" t="str">
        <f t="shared" si="1"/>
        <v/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10"/>
      <c r="AC15" s="7"/>
      <c r="AD15" s="10" t="str">
        <f t="shared" si="2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</row>
    <row r="16" spans="1:47" x14ac:dyDescent="0.7">
      <c r="A16" s="2">
        <v>7</v>
      </c>
      <c r="B16" s="8"/>
      <c r="C16" s="10" t="str">
        <f>IF(D16="","",VLOOKUP(D16,データ!A:C,2,FALSE))</f>
        <v/>
      </c>
      <c r="D16" s="7"/>
      <c r="E16" s="9"/>
      <c r="F16" s="10" t="str">
        <f t="shared" si="0"/>
        <v/>
      </c>
      <c r="G16" s="10" t="str">
        <f t="shared" si="1"/>
        <v/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10"/>
      <c r="AC16" s="7"/>
      <c r="AD16" s="10" t="str">
        <f t="shared" si="2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</row>
    <row r="17" spans="1:47" x14ac:dyDescent="0.7">
      <c r="A17" s="2">
        <v>8</v>
      </c>
      <c r="B17" s="8"/>
      <c r="C17" s="10" t="str">
        <f>IF(D17="","",VLOOKUP(D17,データ!A:C,2,FALSE))</f>
        <v/>
      </c>
      <c r="D17" s="7"/>
      <c r="E17" s="9"/>
      <c r="F17" s="10" t="str">
        <f t="shared" si="0"/>
        <v/>
      </c>
      <c r="G17" s="10" t="str">
        <f t="shared" si="1"/>
        <v/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10"/>
      <c r="AC17" s="7"/>
      <c r="AD17" s="10" t="str">
        <f t="shared" si="2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</row>
    <row r="18" spans="1:47" x14ac:dyDescent="0.7">
      <c r="A18" s="2">
        <v>9</v>
      </c>
      <c r="B18" s="8"/>
      <c r="C18" s="10" t="str">
        <f>IF(D18="","",VLOOKUP(D18,データ!A:C,2,FALSE))</f>
        <v/>
      </c>
      <c r="D18" s="7"/>
      <c r="E18" s="9"/>
      <c r="F18" s="10" t="str">
        <f t="shared" si="0"/>
        <v/>
      </c>
      <c r="G18" s="10" t="str">
        <f t="shared" si="1"/>
        <v/>
      </c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10"/>
      <c r="AC18" s="7"/>
      <c r="AD18" s="10" t="str">
        <f t="shared" si="2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</row>
    <row r="19" spans="1:47" ht="14.25" x14ac:dyDescent="0.7">
      <c r="A19" s="2"/>
      <c r="B19" s="8" t="s">
        <v>100</v>
      </c>
      <c r="C19" s="10">
        <f>IF(D19="","",VLOOKUP(D19,データ!A:C,2,FALSE))</f>
        <v>53</v>
      </c>
      <c r="D19" s="7" t="s">
        <v>53</v>
      </c>
      <c r="E19" s="9">
        <v>1</v>
      </c>
      <c r="F19" s="10">
        <f t="shared" si="0"/>
        <v>1</v>
      </c>
      <c r="G19" s="10">
        <f t="shared" si="1"/>
        <v>1</v>
      </c>
      <c r="H19" s="9"/>
      <c r="I19" s="9"/>
      <c r="J19" s="9">
        <v>1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10"/>
      <c r="AC19" s="7"/>
      <c r="AD19" s="10" t="str">
        <f t="shared" si="2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</row>
    <row r="20" spans="1:47" ht="14.25" x14ac:dyDescent="0.7">
      <c r="A20" s="2"/>
      <c r="B20" s="8" t="s">
        <v>101</v>
      </c>
      <c r="C20" s="10">
        <f>IF(D20="","",VLOOKUP(D20,データ!A:C,2,FALSE))</f>
        <v>1</v>
      </c>
      <c r="D20" s="7" t="s">
        <v>81</v>
      </c>
      <c r="E20" s="9"/>
      <c r="F20" s="10">
        <f t="shared" si="0"/>
        <v>0</v>
      </c>
      <c r="G20" s="10">
        <f t="shared" si="1"/>
        <v>0</v>
      </c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10" t="str">
        <f>IF(AC20="","",VLOOKUP(AC20,データ!A:C,2,FALSE))</f>
        <v/>
      </c>
      <c r="AC20" s="7"/>
      <c r="AD20" s="10" t="str">
        <f t="shared" si="2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</row>
    <row r="21" spans="1:47" ht="14.25" x14ac:dyDescent="0.7">
      <c r="A21" s="2"/>
      <c r="B21" s="8"/>
      <c r="C21" s="10" t="str">
        <f>IF(D21="","",VLOOKUP(D21,データ!A:C,2,FALSE))</f>
        <v/>
      </c>
      <c r="D21" s="7"/>
      <c r="E21" s="9"/>
      <c r="F21" s="10" t="str">
        <f t="shared" si="0"/>
        <v/>
      </c>
      <c r="G21" s="10" t="str">
        <f t="shared" si="1"/>
        <v/>
      </c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10" t="str">
        <f>IF(AC21="","",VLOOKUP(AC21,データ!A:C,2,FALSE))</f>
        <v/>
      </c>
      <c r="AC21" s="7"/>
      <c r="AD21" s="10" t="str">
        <f t="shared" si="2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</row>
    <row r="22" spans="1:47" ht="14.25" x14ac:dyDescent="0.7">
      <c r="A22" s="2"/>
      <c r="B22" s="8"/>
      <c r="C22" s="10"/>
      <c r="D22" s="7"/>
      <c r="E22" s="9"/>
      <c r="F22" s="10" t="str">
        <f t="shared" si="0"/>
        <v/>
      </c>
      <c r="G22" s="10" t="str">
        <f t="shared" si="1"/>
        <v/>
      </c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10" t="str">
        <f>IF(AC22="","",VLOOKUP(AC22,データ!A:C,2,FALSE))</f>
        <v/>
      </c>
      <c r="AC22" s="7"/>
      <c r="AD22" s="10" t="str">
        <f t="shared" si="2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</row>
    <row r="23" spans="1:47" ht="14.25" x14ac:dyDescent="0.7">
      <c r="A23" s="2"/>
      <c r="B23" s="8"/>
      <c r="C23" s="10"/>
      <c r="D23" s="7"/>
      <c r="E23" s="9"/>
      <c r="F23" s="10" t="str">
        <f t="shared" si="0"/>
        <v/>
      </c>
      <c r="G23" s="10" t="str">
        <f t="shared" si="1"/>
        <v/>
      </c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10" t="str">
        <f>IF(AC23="","",VLOOKUP(AC23,データ!A:C,2,FALSE))</f>
        <v/>
      </c>
      <c r="AC23" s="7"/>
      <c r="AD23" s="10" t="str">
        <f t="shared" si="2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x14ac:dyDescent="0.7">
      <c r="A24" s="2"/>
      <c r="B24" s="8"/>
      <c r="C24" s="10"/>
      <c r="D24" s="7"/>
      <c r="E24" s="9"/>
      <c r="F24" s="10" t="str">
        <f t="shared" si="0"/>
        <v/>
      </c>
      <c r="G24" s="10" t="str">
        <f t="shared" si="1"/>
        <v/>
      </c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10" t="str">
        <f>IF(AC24="","",VLOOKUP(AC24,データ!A:C,2,FALSE))</f>
        <v/>
      </c>
      <c r="AC24" s="7"/>
      <c r="AD24" s="10" t="str">
        <f t="shared" si="2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</row>
    <row r="25" spans="1:47" ht="14.25" x14ac:dyDescent="0.7">
      <c r="A25" s="2"/>
      <c r="B25" s="8"/>
      <c r="C25" s="10"/>
      <c r="D25" s="7"/>
      <c r="E25" s="9"/>
      <c r="F25" s="10" t="str">
        <f t="shared" si="0"/>
        <v/>
      </c>
      <c r="G25" s="10" t="str">
        <f t="shared" si="1"/>
        <v/>
      </c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10" t="str">
        <f>IF(AC25="","",VLOOKUP(AC25,データ!A:C,2,FALSE))</f>
        <v/>
      </c>
      <c r="AC25" s="7"/>
      <c r="AD25" s="10" t="str">
        <f t="shared" si="2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</row>
    <row r="26" spans="1:47" ht="14.25" x14ac:dyDescent="0.7">
      <c r="A26" s="2"/>
      <c r="B26" s="8"/>
      <c r="C26" s="10"/>
      <c r="D26" s="7"/>
      <c r="E26" s="9"/>
      <c r="F26" s="10" t="str">
        <f t="shared" si="0"/>
        <v/>
      </c>
      <c r="G26" s="10" t="str">
        <f t="shared" si="1"/>
        <v/>
      </c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10" t="str">
        <f>IF(AC26="","",VLOOKUP(AC26,データ!A:C,2,FALSE))</f>
        <v/>
      </c>
      <c r="AC26" s="7"/>
      <c r="AD26" s="10" t="str">
        <f t="shared" si="2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</row>
    <row r="27" spans="1:47" ht="14.25" x14ac:dyDescent="0.7">
      <c r="A27" s="2"/>
      <c r="B27" s="8"/>
      <c r="C27" s="10" t="str">
        <f>IF(D27="","",VLOOKUP(D27,データ!A:C,2,FALSE))</f>
        <v/>
      </c>
      <c r="D27" s="7"/>
      <c r="E27" s="9"/>
      <c r="F27" s="10" t="str">
        <f t="shared" si="0"/>
        <v/>
      </c>
      <c r="G27" s="10" t="str">
        <f t="shared" si="1"/>
        <v/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10" t="str">
        <f>IF(AC27="","",VLOOKUP(AC27,データ!A:C,2,FALSE))</f>
        <v/>
      </c>
      <c r="AC27" s="7"/>
      <c r="AD27" s="10" t="str">
        <f t="shared" si="2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47" ht="14.25" x14ac:dyDescent="0.7">
      <c r="A28" s="2"/>
      <c r="B28" s="8"/>
      <c r="C28" s="10" t="str">
        <f>IF(D28="","",VLOOKUP(D28,データ!A:C,2,FALSE))</f>
        <v/>
      </c>
      <c r="D28" s="7"/>
      <c r="E28" s="9"/>
      <c r="F28" s="10" t="str">
        <f t="shared" si="0"/>
        <v/>
      </c>
      <c r="G28" s="10" t="str">
        <f t="shared" si="1"/>
        <v/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10" t="str">
        <f>IF(AC28="","",VLOOKUP(AC28,データ!A:C,2,FALSE))</f>
        <v/>
      </c>
      <c r="AC28" s="7"/>
      <c r="AD28" s="10" t="str">
        <f t="shared" si="2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</row>
    <row r="29" spans="1:47" ht="14.25" x14ac:dyDescent="0.7">
      <c r="A29" s="2"/>
      <c r="B29" s="8"/>
      <c r="C29" s="10" t="str">
        <f>IF(D29="","",VLOOKUP(D29,データ!A:C,2,FALSE))</f>
        <v/>
      </c>
      <c r="D29" s="7"/>
      <c r="E29" s="9"/>
      <c r="F29" s="10" t="str">
        <f t="shared" si="0"/>
        <v/>
      </c>
      <c r="G29" s="10" t="str">
        <f t="shared" si="1"/>
        <v/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10" t="str">
        <f>IF(AC29="","",VLOOKUP(AC29,データ!A:C,2,FALSE))</f>
        <v/>
      </c>
      <c r="AC29" s="7"/>
      <c r="AD29" s="10" t="str">
        <f t="shared" si="2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47" ht="14.25" x14ac:dyDescent="0.7">
      <c r="D30" s="6" t="s">
        <v>97</v>
      </c>
      <c r="E30" s="1">
        <f t="shared" ref="E30:AA30" si="3">SUM(E10:E29)</f>
        <v>5</v>
      </c>
      <c r="F30" s="1">
        <f t="shared" si="3"/>
        <v>4</v>
      </c>
      <c r="G30" s="1">
        <f t="shared" si="3"/>
        <v>1</v>
      </c>
      <c r="H30" s="1">
        <f t="shared" si="3"/>
        <v>0</v>
      </c>
      <c r="I30" s="1">
        <f t="shared" si="3"/>
        <v>0</v>
      </c>
      <c r="J30" s="1">
        <f t="shared" si="3"/>
        <v>1</v>
      </c>
      <c r="K30" s="1">
        <f t="shared" si="3"/>
        <v>0</v>
      </c>
      <c r="L30" s="1">
        <f t="shared" si="3"/>
        <v>0</v>
      </c>
      <c r="M30" s="1">
        <f t="shared" si="3"/>
        <v>0</v>
      </c>
      <c r="N30" s="1">
        <f t="shared" si="3"/>
        <v>0</v>
      </c>
      <c r="O30" s="1">
        <f t="shared" si="3"/>
        <v>0</v>
      </c>
      <c r="P30" s="1">
        <f t="shared" si="3"/>
        <v>1</v>
      </c>
      <c r="Q30" s="1">
        <f t="shared" si="3"/>
        <v>1</v>
      </c>
      <c r="R30" s="1">
        <f t="shared" si="3"/>
        <v>1</v>
      </c>
      <c r="S30" s="1">
        <f t="shared" si="3"/>
        <v>0</v>
      </c>
      <c r="T30" s="1">
        <f t="shared" si="3"/>
        <v>0</v>
      </c>
      <c r="U30" s="1">
        <f t="shared" si="3"/>
        <v>0</v>
      </c>
      <c r="V30" s="1">
        <f t="shared" si="3"/>
        <v>0</v>
      </c>
      <c r="W30" s="1">
        <f t="shared" si="3"/>
        <v>0</v>
      </c>
      <c r="X30" s="1">
        <f t="shared" si="3"/>
        <v>0</v>
      </c>
      <c r="Y30" s="1">
        <f t="shared" si="3"/>
        <v>3</v>
      </c>
      <c r="Z30" s="1">
        <f t="shared" si="3"/>
        <v>1</v>
      </c>
      <c r="AA30" s="1">
        <f t="shared" si="3"/>
        <v>0</v>
      </c>
      <c r="AJ30" s="1">
        <f t="shared" ref="AJ30:AU30" si="4">SUM(AJ10:AJ29)</f>
        <v>7</v>
      </c>
      <c r="AK30" s="1">
        <f t="shared" si="4"/>
        <v>0</v>
      </c>
      <c r="AL30" s="1">
        <f t="shared" si="4"/>
        <v>0</v>
      </c>
      <c r="AM30" s="1">
        <f t="shared" si="4"/>
        <v>1</v>
      </c>
      <c r="AN30" s="1">
        <f t="shared" si="4"/>
        <v>0</v>
      </c>
      <c r="AO30" s="1">
        <f t="shared" si="4"/>
        <v>6</v>
      </c>
      <c r="AP30" s="1">
        <f t="shared" si="4"/>
        <v>1</v>
      </c>
      <c r="AQ30" s="1">
        <f t="shared" si="4"/>
        <v>2</v>
      </c>
      <c r="AR30" s="1">
        <f>SUM(AR10:AR29)</f>
        <v>0</v>
      </c>
      <c r="AS30" s="1">
        <f>SUM(AS10:AS29)</f>
        <v>0</v>
      </c>
      <c r="AT30" s="1">
        <f>SUM(AT10:AT29)</f>
        <v>1</v>
      </c>
      <c r="AU30" s="1">
        <f t="shared" si="4"/>
        <v>0</v>
      </c>
    </row>
    <row r="31" spans="1:47" ht="14.25" x14ac:dyDescent="0.7">
      <c r="D31" s="1">
        <f>G30/F30</f>
        <v>0.25</v>
      </c>
    </row>
    <row r="41" spans="3:47" ht="14.25" x14ac:dyDescent="0.7">
      <c r="C41" s="1">
        <f>IF(D41="","",VLOOKUP(D41,データ!A:C,2,FALSE))</f>
        <v>1</v>
      </c>
      <c r="D41" s="6" t="str">
        <f>IFERROR(通算成績!B2,"")</f>
        <v>友野水葉</v>
      </c>
      <c r="E41" s="1">
        <f t="shared" ref="E41:T56" si="5">IFERROR(VLOOKUP($D41,$D$10:$AA$29,E$71,FALSE),0)</f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>
        <f t="shared" si="5"/>
        <v>0</v>
      </c>
      <c r="M41" s="1">
        <f t="shared" si="5"/>
        <v>0</v>
      </c>
      <c r="N41" s="1">
        <f t="shared" si="5"/>
        <v>0</v>
      </c>
      <c r="O41" s="1">
        <f t="shared" si="5"/>
        <v>0</v>
      </c>
      <c r="P41" s="1">
        <f t="shared" si="5"/>
        <v>0</v>
      </c>
      <c r="Q41" s="1">
        <f t="shared" si="5"/>
        <v>0</v>
      </c>
      <c r="R41" s="1">
        <f t="shared" si="5"/>
        <v>0</v>
      </c>
      <c r="S41" s="1">
        <f t="shared" si="5"/>
        <v>0</v>
      </c>
      <c r="T41" s="1">
        <f t="shared" si="5"/>
        <v>0</v>
      </c>
      <c r="U41" s="1">
        <f t="shared" ref="U41:AA56" si="6">IFERROR(VLOOKUP($D41,$D$10:$AA$29,U$71,FALSE),0)</f>
        <v>0</v>
      </c>
      <c r="V41" s="1">
        <f t="shared" si="6"/>
        <v>0</v>
      </c>
      <c r="W41" s="1">
        <f t="shared" si="6"/>
        <v>0</v>
      </c>
      <c r="X41" s="1">
        <f t="shared" si="6"/>
        <v>0</v>
      </c>
      <c r="Y41" s="1">
        <f t="shared" si="6"/>
        <v>0</v>
      </c>
      <c r="Z41" s="1">
        <f t="shared" si="6"/>
        <v>0</v>
      </c>
      <c r="AA41" s="1">
        <f t="shared" si="6"/>
        <v>0</v>
      </c>
      <c r="AD41" s="1">
        <f t="shared" ref="AD41:AS56" si="7">IFERROR(VLOOKUP($D41,$AC$10:$AU$29,AD$71,FALSE),0)</f>
        <v>1</v>
      </c>
      <c r="AE41" s="1">
        <f t="shared" si="7"/>
        <v>0</v>
      </c>
      <c r="AF41" s="1">
        <f t="shared" si="7"/>
        <v>1</v>
      </c>
      <c r="AG41" s="1">
        <f t="shared" si="7"/>
        <v>0</v>
      </c>
      <c r="AH41" s="1">
        <f t="shared" si="7"/>
        <v>0</v>
      </c>
      <c r="AI41" s="1">
        <f t="shared" si="7"/>
        <v>0</v>
      </c>
      <c r="AJ41" s="1">
        <f t="shared" si="7"/>
        <v>1</v>
      </c>
      <c r="AK41" s="1">
        <f t="shared" si="7"/>
        <v>0</v>
      </c>
      <c r="AL41" s="1">
        <f t="shared" si="7"/>
        <v>0</v>
      </c>
      <c r="AM41" s="1">
        <f t="shared" si="7"/>
        <v>1</v>
      </c>
      <c r="AN41" s="1">
        <f t="shared" si="7"/>
        <v>0</v>
      </c>
      <c r="AO41" s="1">
        <f t="shared" si="7"/>
        <v>6</v>
      </c>
      <c r="AP41" s="1">
        <f t="shared" si="7"/>
        <v>1</v>
      </c>
      <c r="AQ41" s="1">
        <f t="shared" si="7"/>
        <v>2</v>
      </c>
      <c r="AR41" s="1">
        <f t="shared" si="7"/>
        <v>0</v>
      </c>
      <c r="AS41" s="1">
        <f t="shared" si="7"/>
        <v>0</v>
      </c>
      <c r="AT41" s="1">
        <f t="shared" ref="AN41:AU56" si="8">IFERROR(VLOOKUP($D41,$AC$10:$AU$29,AT$71,FALSE),0)</f>
        <v>1</v>
      </c>
      <c r="AU41" s="1">
        <f t="shared" si="8"/>
        <v>0</v>
      </c>
    </row>
    <row r="42" spans="3:47" ht="14.25" x14ac:dyDescent="0.7">
      <c r="C42" s="1">
        <f>IF(D42="","",VLOOKUP(D42,データ!A:C,2,FALSE))</f>
        <v>3</v>
      </c>
      <c r="D42" s="6" t="str">
        <f>IFERROR(通算成績!B3,"")</f>
        <v>我那覇公二郎</v>
      </c>
      <c r="E42" s="1">
        <f t="shared" si="5"/>
        <v>0</v>
      </c>
      <c r="F42" s="1">
        <f t="shared" si="5"/>
        <v>0</v>
      </c>
      <c r="G42" s="1">
        <f t="shared" si="5"/>
        <v>0</v>
      </c>
      <c r="H42" s="1">
        <f t="shared" si="5"/>
        <v>0</v>
      </c>
      <c r="I42" s="1">
        <f t="shared" si="5"/>
        <v>0</v>
      </c>
      <c r="J42" s="1">
        <f t="shared" si="5"/>
        <v>0</v>
      </c>
      <c r="K42" s="1">
        <f t="shared" si="5"/>
        <v>0</v>
      </c>
      <c r="L42" s="1">
        <f t="shared" si="5"/>
        <v>0</v>
      </c>
      <c r="M42" s="1">
        <f t="shared" si="5"/>
        <v>0</v>
      </c>
      <c r="N42" s="1">
        <f t="shared" si="5"/>
        <v>0</v>
      </c>
      <c r="O42" s="1">
        <f t="shared" si="5"/>
        <v>0</v>
      </c>
      <c r="P42" s="1">
        <f t="shared" si="5"/>
        <v>0</v>
      </c>
      <c r="Q42" s="1">
        <f t="shared" si="5"/>
        <v>0</v>
      </c>
      <c r="R42" s="1">
        <f t="shared" si="5"/>
        <v>0</v>
      </c>
      <c r="S42" s="1">
        <f t="shared" si="5"/>
        <v>0</v>
      </c>
      <c r="T42" s="1">
        <f t="shared" si="5"/>
        <v>0</v>
      </c>
      <c r="U42" s="1">
        <f t="shared" si="6"/>
        <v>0</v>
      </c>
      <c r="V42" s="1">
        <f t="shared" si="6"/>
        <v>0</v>
      </c>
      <c r="W42" s="1">
        <f t="shared" si="6"/>
        <v>0</v>
      </c>
      <c r="X42" s="1">
        <f t="shared" si="6"/>
        <v>0</v>
      </c>
      <c r="Y42" s="1">
        <f t="shared" si="6"/>
        <v>0</v>
      </c>
      <c r="Z42" s="1">
        <f t="shared" si="6"/>
        <v>0</v>
      </c>
      <c r="AA42" s="1">
        <f t="shared" si="6"/>
        <v>0</v>
      </c>
      <c r="AD42" s="1">
        <f t="shared" si="7"/>
        <v>0</v>
      </c>
      <c r="AE42" s="1">
        <f t="shared" si="7"/>
        <v>0</v>
      </c>
      <c r="AF42" s="1">
        <f t="shared" si="7"/>
        <v>0</v>
      </c>
      <c r="AG42" s="1">
        <f t="shared" si="7"/>
        <v>0</v>
      </c>
      <c r="AH42" s="1">
        <f t="shared" si="7"/>
        <v>0</v>
      </c>
      <c r="AI42" s="1">
        <f t="shared" si="7"/>
        <v>0</v>
      </c>
      <c r="AJ42" s="1">
        <f t="shared" si="7"/>
        <v>0</v>
      </c>
      <c r="AK42" s="1">
        <f t="shared" si="7"/>
        <v>0</v>
      </c>
      <c r="AL42" s="1">
        <f t="shared" si="7"/>
        <v>0</v>
      </c>
      <c r="AM42" s="1">
        <f t="shared" si="7"/>
        <v>0</v>
      </c>
      <c r="AN42" s="1">
        <f t="shared" si="8"/>
        <v>0</v>
      </c>
      <c r="AO42" s="1">
        <f t="shared" si="8"/>
        <v>0</v>
      </c>
      <c r="AP42" s="1">
        <f t="shared" si="8"/>
        <v>0</v>
      </c>
      <c r="AQ42" s="1">
        <f t="shared" si="8"/>
        <v>0</v>
      </c>
      <c r="AR42" s="1">
        <f t="shared" si="8"/>
        <v>0</v>
      </c>
      <c r="AS42" s="1">
        <f t="shared" si="8"/>
        <v>0</v>
      </c>
      <c r="AT42" s="1">
        <f t="shared" si="8"/>
        <v>0</v>
      </c>
      <c r="AU42" s="1">
        <f t="shared" si="8"/>
        <v>0</v>
      </c>
    </row>
    <row r="43" spans="3:47" ht="14.25" x14ac:dyDescent="0.7">
      <c r="C43" s="1">
        <f>IF(D43="","",VLOOKUP(D43,データ!A:C,2,FALSE))</f>
        <v>5</v>
      </c>
      <c r="D43" s="6" t="str">
        <f>IFERROR(通算成績!B4,"")</f>
        <v>山内治樹</v>
      </c>
      <c r="E43" s="1">
        <f t="shared" si="5"/>
        <v>0</v>
      </c>
      <c r="F43" s="1">
        <f t="shared" si="5"/>
        <v>0</v>
      </c>
      <c r="G43" s="1">
        <f t="shared" si="5"/>
        <v>0</v>
      </c>
      <c r="H43" s="1">
        <f t="shared" si="5"/>
        <v>0</v>
      </c>
      <c r="I43" s="1">
        <f t="shared" si="5"/>
        <v>0</v>
      </c>
      <c r="J43" s="1">
        <f t="shared" si="5"/>
        <v>0</v>
      </c>
      <c r="K43" s="1">
        <f t="shared" si="5"/>
        <v>0</v>
      </c>
      <c r="L43" s="1">
        <f t="shared" si="5"/>
        <v>0</v>
      </c>
      <c r="M43" s="1">
        <f t="shared" si="5"/>
        <v>0</v>
      </c>
      <c r="N43" s="1">
        <f t="shared" si="5"/>
        <v>0</v>
      </c>
      <c r="O43" s="1">
        <f t="shared" si="5"/>
        <v>0</v>
      </c>
      <c r="P43" s="1">
        <f t="shared" si="5"/>
        <v>0</v>
      </c>
      <c r="Q43" s="1">
        <f t="shared" si="5"/>
        <v>0</v>
      </c>
      <c r="R43" s="1">
        <f t="shared" si="5"/>
        <v>0</v>
      </c>
      <c r="S43" s="1">
        <f t="shared" si="5"/>
        <v>0</v>
      </c>
      <c r="T43" s="1">
        <f t="shared" si="5"/>
        <v>0</v>
      </c>
      <c r="U43" s="1">
        <f t="shared" si="6"/>
        <v>0</v>
      </c>
      <c r="V43" s="1">
        <f t="shared" si="6"/>
        <v>0</v>
      </c>
      <c r="W43" s="1">
        <f t="shared" si="6"/>
        <v>0</v>
      </c>
      <c r="X43" s="1">
        <f t="shared" si="6"/>
        <v>0</v>
      </c>
      <c r="Y43" s="1">
        <f t="shared" si="6"/>
        <v>0</v>
      </c>
      <c r="Z43" s="1">
        <f t="shared" si="6"/>
        <v>0</v>
      </c>
      <c r="AA43" s="1">
        <f t="shared" si="6"/>
        <v>0</v>
      </c>
      <c r="AD43" s="1">
        <f t="shared" si="7"/>
        <v>0</v>
      </c>
      <c r="AE43" s="1">
        <f t="shared" si="7"/>
        <v>0</v>
      </c>
      <c r="AF43" s="1">
        <f t="shared" si="7"/>
        <v>0</v>
      </c>
      <c r="AG43" s="1">
        <f t="shared" si="7"/>
        <v>0</v>
      </c>
      <c r="AH43" s="1">
        <f t="shared" si="7"/>
        <v>0</v>
      </c>
      <c r="AI43" s="1">
        <f t="shared" si="7"/>
        <v>0</v>
      </c>
      <c r="AJ43" s="1">
        <f t="shared" si="7"/>
        <v>0</v>
      </c>
      <c r="AK43" s="1">
        <f t="shared" si="7"/>
        <v>0</v>
      </c>
      <c r="AL43" s="1">
        <f t="shared" si="7"/>
        <v>0</v>
      </c>
      <c r="AM43" s="1">
        <f t="shared" si="7"/>
        <v>0</v>
      </c>
      <c r="AN43" s="1">
        <f t="shared" si="8"/>
        <v>0</v>
      </c>
      <c r="AO43" s="1">
        <f t="shared" si="8"/>
        <v>0</v>
      </c>
      <c r="AP43" s="1">
        <f t="shared" si="8"/>
        <v>0</v>
      </c>
      <c r="AQ43" s="1">
        <f t="shared" si="8"/>
        <v>0</v>
      </c>
      <c r="AR43" s="1">
        <f t="shared" si="8"/>
        <v>0</v>
      </c>
      <c r="AS43" s="1">
        <f t="shared" si="8"/>
        <v>0</v>
      </c>
      <c r="AT43" s="1">
        <f t="shared" si="8"/>
        <v>0</v>
      </c>
      <c r="AU43" s="1">
        <f t="shared" si="8"/>
        <v>0</v>
      </c>
    </row>
    <row r="44" spans="3:47" ht="14.25" x14ac:dyDescent="0.7">
      <c r="C44" s="1">
        <f>IF(D44="","",VLOOKUP(D44,データ!A:C,2,FALSE))</f>
        <v>7</v>
      </c>
      <c r="D44" s="6" t="str">
        <f>IFERROR(通算成績!B5,"")</f>
        <v>山下湊</v>
      </c>
      <c r="E44" s="1">
        <f t="shared" si="5"/>
        <v>0</v>
      </c>
      <c r="F44" s="1">
        <f t="shared" si="5"/>
        <v>0</v>
      </c>
      <c r="G44" s="1">
        <f t="shared" si="5"/>
        <v>0</v>
      </c>
      <c r="H44" s="1">
        <f t="shared" si="5"/>
        <v>0</v>
      </c>
      <c r="I44" s="1">
        <f t="shared" si="5"/>
        <v>0</v>
      </c>
      <c r="J44" s="1">
        <f t="shared" si="5"/>
        <v>0</v>
      </c>
      <c r="K44" s="1">
        <f t="shared" si="5"/>
        <v>0</v>
      </c>
      <c r="L44" s="1">
        <f t="shared" si="5"/>
        <v>0</v>
      </c>
      <c r="M44" s="1">
        <f t="shared" si="5"/>
        <v>0</v>
      </c>
      <c r="N44" s="1">
        <f t="shared" si="5"/>
        <v>0</v>
      </c>
      <c r="O44" s="1">
        <f t="shared" si="5"/>
        <v>0</v>
      </c>
      <c r="P44" s="1">
        <f t="shared" si="5"/>
        <v>0</v>
      </c>
      <c r="Q44" s="1">
        <f t="shared" si="5"/>
        <v>0</v>
      </c>
      <c r="R44" s="1">
        <f t="shared" si="5"/>
        <v>0</v>
      </c>
      <c r="S44" s="1">
        <f t="shared" si="5"/>
        <v>0</v>
      </c>
      <c r="T44" s="1">
        <f t="shared" si="5"/>
        <v>0</v>
      </c>
      <c r="U44" s="1">
        <f t="shared" si="6"/>
        <v>0</v>
      </c>
      <c r="V44" s="1">
        <f t="shared" si="6"/>
        <v>0</v>
      </c>
      <c r="W44" s="1">
        <f t="shared" si="6"/>
        <v>0</v>
      </c>
      <c r="X44" s="1">
        <f t="shared" si="6"/>
        <v>0</v>
      </c>
      <c r="Y44" s="1">
        <f t="shared" si="6"/>
        <v>0</v>
      </c>
      <c r="Z44" s="1">
        <f t="shared" si="6"/>
        <v>0</v>
      </c>
      <c r="AA44" s="1">
        <f t="shared" si="6"/>
        <v>0</v>
      </c>
      <c r="AD44" s="1">
        <f t="shared" si="7"/>
        <v>0</v>
      </c>
      <c r="AE44" s="1">
        <f t="shared" si="7"/>
        <v>0</v>
      </c>
      <c r="AF44" s="1">
        <f t="shared" si="7"/>
        <v>0</v>
      </c>
      <c r="AG44" s="1">
        <f t="shared" si="7"/>
        <v>0</v>
      </c>
      <c r="AH44" s="1">
        <f t="shared" si="7"/>
        <v>0</v>
      </c>
      <c r="AI44" s="1">
        <f t="shared" si="7"/>
        <v>0</v>
      </c>
      <c r="AJ44" s="1">
        <f t="shared" si="7"/>
        <v>0</v>
      </c>
      <c r="AK44" s="1">
        <f t="shared" si="7"/>
        <v>0</v>
      </c>
      <c r="AL44" s="1">
        <f t="shared" si="7"/>
        <v>0</v>
      </c>
      <c r="AM44" s="1">
        <f t="shared" si="7"/>
        <v>0</v>
      </c>
      <c r="AN44" s="1">
        <f t="shared" si="8"/>
        <v>0</v>
      </c>
      <c r="AO44" s="1">
        <f t="shared" si="8"/>
        <v>0</v>
      </c>
      <c r="AP44" s="1">
        <f t="shared" si="8"/>
        <v>0</v>
      </c>
      <c r="AQ44" s="1">
        <f t="shared" si="8"/>
        <v>0</v>
      </c>
      <c r="AR44" s="1">
        <f t="shared" si="8"/>
        <v>0</v>
      </c>
      <c r="AS44" s="1">
        <f t="shared" si="8"/>
        <v>0</v>
      </c>
      <c r="AT44" s="1">
        <f t="shared" si="8"/>
        <v>0</v>
      </c>
      <c r="AU44" s="1">
        <f t="shared" si="8"/>
        <v>0</v>
      </c>
    </row>
    <row r="45" spans="3:47" ht="14.25" x14ac:dyDescent="0.7">
      <c r="C45" s="1">
        <f>IF(D45="","",VLOOKUP(D45,データ!A:C,2,FALSE))</f>
        <v>9</v>
      </c>
      <c r="D45" s="6" t="str">
        <f>IFERROR(通算成績!B6,"")</f>
        <v>藤枝稜央</v>
      </c>
      <c r="E45" s="1">
        <f t="shared" si="5"/>
        <v>0</v>
      </c>
      <c r="F45" s="1">
        <f t="shared" si="5"/>
        <v>0</v>
      </c>
      <c r="G45" s="1">
        <f t="shared" si="5"/>
        <v>0</v>
      </c>
      <c r="H45" s="1">
        <f t="shared" si="5"/>
        <v>0</v>
      </c>
      <c r="I45" s="1">
        <f t="shared" si="5"/>
        <v>0</v>
      </c>
      <c r="J45" s="1">
        <f t="shared" si="5"/>
        <v>0</v>
      </c>
      <c r="K45" s="1">
        <f t="shared" si="5"/>
        <v>0</v>
      </c>
      <c r="L45" s="1">
        <f t="shared" si="5"/>
        <v>0</v>
      </c>
      <c r="M45" s="1">
        <f t="shared" si="5"/>
        <v>0</v>
      </c>
      <c r="N45" s="1">
        <f t="shared" si="5"/>
        <v>0</v>
      </c>
      <c r="O45" s="1">
        <f t="shared" si="5"/>
        <v>0</v>
      </c>
      <c r="P45" s="1">
        <f t="shared" si="5"/>
        <v>0</v>
      </c>
      <c r="Q45" s="1">
        <f t="shared" si="5"/>
        <v>0</v>
      </c>
      <c r="R45" s="1">
        <f t="shared" si="5"/>
        <v>0</v>
      </c>
      <c r="S45" s="1">
        <f t="shared" si="5"/>
        <v>0</v>
      </c>
      <c r="T45" s="1">
        <f t="shared" si="5"/>
        <v>0</v>
      </c>
      <c r="U45" s="1">
        <f t="shared" si="6"/>
        <v>0</v>
      </c>
      <c r="V45" s="1">
        <f t="shared" si="6"/>
        <v>0</v>
      </c>
      <c r="W45" s="1">
        <f t="shared" si="6"/>
        <v>0</v>
      </c>
      <c r="X45" s="1">
        <f t="shared" si="6"/>
        <v>0</v>
      </c>
      <c r="Y45" s="1">
        <f t="shared" si="6"/>
        <v>0</v>
      </c>
      <c r="Z45" s="1">
        <f t="shared" si="6"/>
        <v>0</v>
      </c>
      <c r="AA45" s="1">
        <f t="shared" si="6"/>
        <v>0</v>
      </c>
      <c r="AD45" s="1">
        <f t="shared" si="7"/>
        <v>0</v>
      </c>
      <c r="AE45" s="1">
        <f t="shared" si="7"/>
        <v>0</v>
      </c>
      <c r="AF45" s="1">
        <f t="shared" si="7"/>
        <v>0</v>
      </c>
      <c r="AG45" s="1">
        <f t="shared" si="7"/>
        <v>0</v>
      </c>
      <c r="AH45" s="1">
        <f t="shared" si="7"/>
        <v>0</v>
      </c>
      <c r="AI45" s="1">
        <f t="shared" si="7"/>
        <v>0</v>
      </c>
      <c r="AJ45" s="1">
        <f t="shared" si="7"/>
        <v>0</v>
      </c>
      <c r="AK45" s="1">
        <f t="shared" si="7"/>
        <v>0</v>
      </c>
      <c r="AL45" s="1">
        <f t="shared" si="7"/>
        <v>0</v>
      </c>
      <c r="AM45" s="1">
        <f t="shared" si="7"/>
        <v>0</v>
      </c>
      <c r="AN45" s="1">
        <f t="shared" si="8"/>
        <v>0</v>
      </c>
      <c r="AO45" s="1">
        <f t="shared" si="8"/>
        <v>0</v>
      </c>
      <c r="AP45" s="1">
        <f t="shared" si="8"/>
        <v>0</v>
      </c>
      <c r="AQ45" s="1">
        <f t="shared" si="8"/>
        <v>0</v>
      </c>
      <c r="AR45" s="1">
        <f t="shared" si="8"/>
        <v>0</v>
      </c>
      <c r="AS45" s="1">
        <f t="shared" si="8"/>
        <v>0</v>
      </c>
      <c r="AT45" s="1">
        <f t="shared" si="8"/>
        <v>0</v>
      </c>
      <c r="AU45" s="1">
        <f t="shared" si="8"/>
        <v>0</v>
      </c>
    </row>
    <row r="46" spans="3:47" ht="14.25" x14ac:dyDescent="0.7">
      <c r="C46" s="1">
        <f>IF(D46="","",VLOOKUP(D46,データ!A:C,2,FALSE))</f>
        <v>9</v>
      </c>
      <c r="D46" s="6" t="str">
        <f>IFERROR(通算成績!B7,"")</f>
        <v>和田侑也</v>
      </c>
      <c r="E46" s="1">
        <f t="shared" si="5"/>
        <v>0</v>
      </c>
      <c r="F46" s="1">
        <f t="shared" si="5"/>
        <v>0</v>
      </c>
      <c r="G46" s="1">
        <f t="shared" si="5"/>
        <v>0</v>
      </c>
      <c r="H46" s="1">
        <f t="shared" si="5"/>
        <v>0</v>
      </c>
      <c r="I46" s="1">
        <f t="shared" si="5"/>
        <v>0</v>
      </c>
      <c r="J46" s="1">
        <f t="shared" si="5"/>
        <v>0</v>
      </c>
      <c r="K46" s="1">
        <f t="shared" si="5"/>
        <v>0</v>
      </c>
      <c r="L46" s="1">
        <f t="shared" si="5"/>
        <v>0</v>
      </c>
      <c r="M46" s="1">
        <f t="shared" si="5"/>
        <v>0</v>
      </c>
      <c r="N46" s="1">
        <f t="shared" si="5"/>
        <v>0</v>
      </c>
      <c r="O46" s="1">
        <f t="shared" si="5"/>
        <v>0</v>
      </c>
      <c r="P46" s="1">
        <f t="shared" si="5"/>
        <v>0</v>
      </c>
      <c r="Q46" s="1">
        <f t="shared" si="5"/>
        <v>0</v>
      </c>
      <c r="R46" s="1">
        <f t="shared" si="5"/>
        <v>0</v>
      </c>
      <c r="S46" s="1">
        <f t="shared" si="5"/>
        <v>0</v>
      </c>
      <c r="T46" s="1">
        <f t="shared" si="5"/>
        <v>0</v>
      </c>
      <c r="U46" s="1">
        <f t="shared" si="6"/>
        <v>0</v>
      </c>
      <c r="V46" s="1">
        <f t="shared" si="6"/>
        <v>0</v>
      </c>
      <c r="W46" s="1">
        <f t="shared" si="6"/>
        <v>0</v>
      </c>
      <c r="X46" s="1">
        <f t="shared" si="6"/>
        <v>0</v>
      </c>
      <c r="Y46" s="1">
        <f t="shared" si="6"/>
        <v>0</v>
      </c>
      <c r="Z46" s="1">
        <f t="shared" si="6"/>
        <v>0</v>
      </c>
      <c r="AA46" s="1">
        <f t="shared" si="6"/>
        <v>0</v>
      </c>
      <c r="AD46" s="1">
        <f t="shared" si="7"/>
        <v>0</v>
      </c>
      <c r="AE46" s="1">
        <f t="shared" si="7"/>
        <v>0</v>
      </c>
      <c r="AF46" s="1">
        <f t="shared" si="7"/>
        <v>0</v>
      </c>
      <c r="AG46" s="1">
        <f t="shared" si="7"/>
        <v>0</v>
      </c>
      <c r="AH46" s="1">
        <f t="shared" si="7"/>
        <v>0</v>
      </c>
      <c r="AI46" s="1">
        <f t="shared" si="7"/>
        <v>0</v>
      </c>
      <c r="AJ46" s="1">
        <f t="shared" si="7"/>
        <v>0</v>
      </c>
      <c r="AK46" s="1">
        <f t="shared" si="7"/>
        <v>0</v>
      </c>
      <c r="AL46" s="1">
        <f t="shared" si="7"/>
        <v>0</v>
      </c>
      <c r="AM46" s="1">
        <f t="shared" si="7"/>
        <v>0</v>
      </c>
      <c r="AN46" s="1">
        <f t="shared" si="8"/>
        <v>0</v>
      </c>
      <c r="AO46" s="1">
        <f t="shared" si="8"/>
        <v>0</v>
      </c>
      <c r="AP46" s="1">
        <f t="shared" si="8"/>
        <v>0</v>
      </c>
      <c r="AQ46" s="1">
        <f t="shared" si="8"/>
        <v>0</v>
      </c>
      <c r="AR46" s="1">
        <f t="shared" si="8"/>
        <v>0</v>
      </c>
      <c r="AS46" s="1">
        <f t="shared" si="8"/>
        <v>0</v>
      </c>
      <c r="AT46" s="1">
        <f t="shared" si="8"/>
        <v>0</v>
      </c>
      <c r="AU46" s="1">
        <f t="shared" si="8"/>
        <v>0</v>
      </c>
    </row>
    <row r="47" spans="3:47" ht="14.25" x14ac:dyDescent="0.7">
      <c r="C47" s="1">
        <f>IF(D47="","",VLOOKUP(D47,データ!A:C,2,FALSE))</f>
        <v>11</v>
      </c>
      <c r="D47" s="6" t="str">
        <f>IFERROR(通算成績!B8,"")</f>
        <v>岩本佳大</v>
      </c>
      <c r="E47" s="1">
        <f t="shared" si="5"/>
        <v>0</v>
      </c>
      <c r="F47" s="1">
        <f t="shared" si="5"/>
        <v>0</v>
      </c>
      <c r="G47" s="1">
        <f t="shared" si="5"/>
        <v>0</v>
      </c>
      <c r="H47" s="1">
        <f t="shared" si="5"/>
        <v>0</v>
      </c>
      <c r="I47" s="1">
        <f t="shared" si="5"/>
        <v>0</v>
      </c>
      <c r="J47" s="1">
        <f t="shared" si="5"/>
        <v>0</v>
      </c>
      <c r="K47" s="1">
        <f t="shared" si="5"/>
        <v>0</v>
      </c>
      <c r="L47" s="1">
        <f t="shared" si="5"/>
        <v>0</v>
      </c>
      <c r="M47" s="1">
        <f t="shared" si="5"/>
        <v>0</v>
      </c>
      <c r="N47" s="1">
        <f t="shared" si="5"/>
        <v>0</v>
      </c>
      <c r="O47" s="1">
        <f t="shared" si="5"/>
        <v>0</v>
      </c>
      <c r="P47" s="1">
        <f t="shared" si="5"/>
        <v>0</v>
      </c>
      <c r="Q47" s="1">
        <f t="shared" si="5"/>
        <v>0</v>
      </c>
      <c r="R47" s="1">
        <f t="shared" si="5"/>
        <v>0</v>
      </c>
      <c r="S47" s="1">
        <f t="shared" si="5"/>
        <v>0</v>
      </c>
      <c r="T47" s="1">
        <f t="shared" si="5"/>
        <v>0</v>
      </c>
      <c r="U47" s="1">
        <f t="shared" si="6"/>
        <v>0</v>
      </c>
      <c r="V47" s="1">
        <f t="shared" si="6"/>
        <v>0</v>
      </c>
      <c r="W47" s="1">
        <f t="shared" si="6"/>
        <v>0</v>
      </c>
      <c r="X47" s="1">
        <f t="shared" si="6"/>
        <v>0</v>
      </c>
      <c r="Y47" s="1">
        <f t="shared" si="6"/>
        <v>0</v>
      </c>
      <c r="Z47" s="1">
        <f t="shared" si="6"/>
        <v>0</v>
      </c>
      <c r="AA47" s="1">
        <f t="shared" si="6"/>
        <v>0</v>
      </c>
      <c r="AD47" s="1">
        <f t="shared" si="7"/>
        <v>0</v>
      </c>
      <c r="AE47" s="1">
        <f t="shared" si="7"/>
        <v>0</v>
      </c>
      <c r="AF47" s="1">
        <f t="shared" si="7"/>
        <v>0</v>
      </c>
      <c r="AG47" s="1">
        <f t="shared" si="7"/>
        <v>0</v>
      </c>
      <c r="AH47" s="1">
        <f t="shared" si="7"/>
        <v>0</v>
      </c>
      <c r="AI47" s="1">
        <f t="shared" si="7"/>
        <v>0</v>
      </c>
      <c r="AJ47" s="1">
        <f t="shared" si="7"/>
        <v>0</v>
      </c>
      <c r="AK47" s="1">
        <f t="shared" si="7"/>
        <v>0</v>
      </c>
      <c r="AL47" s="1">
        <f t="shared" si="7"/>
        <v>0</v>
      </c>
      <c r="AM47" s="1">
        <f t="shared" si="7"/>
        <v>0</v>
      </c>
      <c r="AN47" s="1">
        <f t="shared" si="8"/>
        <v>0</v>
      </c>
      <c r="AO47" s="1">
        <f t="shared" si="8"/>
        <v>0</v>
      </c>
      <c r="AP47" s="1">
        <f t="shared" si="8"/>
        <v>0</v>
      </c>
      <c r="AQ47" s="1">
        <f t="shared" si="8"/>
        <v>0</v>
      </c>
      <c r="AR47" s="1">
        <f t="shared" si="8"/>
        <v>0</v>
      </c>
      <c r="AS47" s="1">
        <f t="shared" si="8"/>
        <v>0</v>
      </c>
      <c r="AT47" s="1">
        <f t="shared" si="8"/>
        <v>0</v>
      </c>
      <c r="AU47" s="1">
        <f t="shared" si="8"/>
        <v>0</v>
      </c>
    </row>
    <row r="48" spans="3:47" ht="14.25" x14ac:dyDescent="0.7">
      <c r="C48" s="1">
        <f>IF(D48="","",VLOOKUP(D48,データ!A:C,2,FALSE))</f>
        <v>12</v>
      </c>
      <c r="D48" s="6" t="str">
        <f>IFERROR(通算成績!B9,"")</f>
        <v>若菜光</v>
      </c>
      <c r="E48" s="1">
        <f t="shared" si="5"/>
        <v>0</v>
      </c>
      <c r="F48" s="1">
        <f t="shared" si="5"/>
        <v>0</v>
      </c>
      <c r="G48" s="1">
        <f t="shared" si="5"/>
        <v>0</v>
      </c>
      <c r="H48" s="1">
        <f t="shared" si="5"/>
        <v>0</v>
      </c>
      <c r="I48" s="1">
        <f t="shared" si="5"/>
        <v>0</v>
      </c>
      <c r="J48" s="1">
        <f t="shared" si="5"/>
        <v>0</v>
      </c>
      <c r="K48" s="1">
        <f t="shared" si="5"/>
        <v>0</v>
      </c>
      <c r="L48" s="1">
        <f t="shared" si="5"/>
        <v>0</v>
      </c>
      <c r="M48" s="1">
        <f t="shared" si="5"/>
        <v>0</v>
      </c>
      <c r="N48" s="1">
        <f t="shared" si="5"/>
        <v>0</v>
      </c>
      <c r="O48" s="1">
        <f t="shared" si="5"/>
        <v>0</v>
      </c>
      <c r="P48" s="1">
        <f t="shared" si="5"/>
        <v>0</v>
      </c>
      <c r="Q48" s="1">
        <f t="shared" si="5"/>
        <v>0</v>
      </c>
      <c r="R48" s="1">
        <f t="shared" si="5"/>
        <v>0</v>
      </c>
      <c r="S48" s="1">
        <f t="shared" si="5"/>
        <v>0</v>
      </c>
      <c r="T48" s="1">
        <f t="shared" si="5"/>
        <v>0</v>
      </c>
      <c r="U48" s="1">
        <f t="shared" si="6"/>
        <v>0</v>
      </c>
      <c r="V48" s="1">
        <f t="shared" si="6"/>
        <v>0</v>
      </c>
      <c r="W48" s="1">
        <f t="shared" si="6"/>
        <v>0</v>
      </c>
      <c r="X48" s="1">
        <f t="shared" si="6"/>
        <v>0</v>
      </c>
      <c r="Y48" s="1">
        <f t="shared" si="6"/>
        <v>0</v>
      </c>
      <c r="Z48" s="1">
        <f t="shared" si="6"/>
        <v>0</v>
      </c>
      <c r="AA48" s="1">
        <f t="shared" si="6"/>
        <v>0</v>
      </c>
      <c r="AD48" s="1">
        <f t="shared" si="7"/>
        <v>0</v>
      </c>
      <c r="AE48" s="1">
        <f t="shared" si="7"/>
        <v>0</v>
      </c>
      <c r="AF48" s="1">
        <f t="shared" si="7"/>
        <v>0</v>
      </c>
      <c r="AG48" s="1">
        <f t="shared" si="7"/>
        <v>0</v>
      </c>
      <c r="AH48" s="1">
        <f t="shared" si="7"/>
        <v>0</v>
      </c>
      <c r="AI48" s="1">
        <f t="shared" si="7"/>
        <v>0</v>
      </c>
      <c r="AJ48" s="1">
        <f t="shared" si="7"/>
        <v>0</v>
      </c>
      <c r="AK48" s="1">
        <f t="shared" si="7"/>
        <v>0</v>
      </c>
      <c r="AL48" s="1">
        <f t="shared" si="7"/>
        <v>0</v>
      </c>
      <c r="AM48" s="1">
        <f t="shared" si="7"/>
        <v>0</v>
      </c>
      <c r="AN48" s="1">
        <f t="shared" si="8"/>
        <v>0</v>
      </c>
      <c r="AO48" s="1">
        <f t="shared" si="8"/>
        <v>0</v>
      </c>
      <c r="AP48" s="1">
        <f t="shared" si="8"/>
        <v>0</v>
      </c>
      <c r="AQ48" s="1">
        <f t="shared" si="8"/>
        <v>0</v>
      </c>
      <c r="AR48" s="1">
        <f t="shared" si="8"/>
        <v>0</v>
      </c>
      <c r="AS48" s="1">
        <f t="shared" si="8"/>
        <v>0</v>
      </c>
      <c r="AT48" s="1">
        <f t="shared" si="8"/>
        <v>0</v>
      </c>
      <c r="AU48" s="1">
        <f t="shared" si="8"/>
        <v>0</v>
      </c>
    </row>
    <row r="49" spans="3:47" ht="14.25" x14ac:dyDescent="0.7">
      <c r="C49" s="1">
        <f>IF(D49="","",VLOOKUP(D49,データ!A:C,2,FALSE))</f>
        <v>17</v>
      </c>
      <c r="D49" s="6" t="str">
        <f>IFERROR(通算成績!B10,"")</f>
        <v>近藤大尭</v>
      </c>
      <c r="E49" s="1">
        <f t="shared" si="5"/>
        <v>0</v>
      </c>
      <c r="F49" s="1">
        <f t="shared" si="5"/>
        <v>0</v>
      </c>
      <c r="G49" s="1">
        <f t="shared" si="5"/>
        <v>0</v>
      </c>
      <c r="H49" s="1">
        <f t="shared" si="5"/>
        <v>0</v>
      </c>
      <c r="I49" s="1">
        <f t="shared" si="5"/>
        <v>0</v>
      </c>
      <c r="J49" s="1">
        <f t="shared" si="5"/>
        <v>0</v>
      </c>
      <c r="K49" s="1">
        <f t="shared" si="5"/>
        <v>0</v>
      </c>
      <c r="L49" s="1">
        <f t="shared" si="5"/>
        <v>0</v>
      </c>
      <c r="M49" s="1">
        <f t="shared" si="5"/>
        <v>0</v>
      </c>
      <c r="N49" s="1">
        <f t="shared" si="5"/>
        <v>0</v>
      </c>
      <c r="O49" s="1">
        <f t="shared" si="5"/>
        <v>0</v>
      </c>
      <c r="P49" s="1">
        <f t="shared" si="5"/>
        <v>0</v>
      </c>
      <c r="Q49" s="1">
        <f t="shared" si="5"/>
        <v>0</v>
      </c>
      <c r="R49" s="1">
        <f t="shared" si="5"/>
        <v>0</v>
      </c>
      <c r="S49" s="1">
        <f t="shared" si="5"/>
        <v>0</v>
      </c>
      <c r="T49" s="1">
        <f t="shared" si="5"/>
        <v>0</v>
      </c>
      <c r="U49" s="1">
        <f t="shared" si="6"/>
        <v>0</v>
      </c>
      <c r="V49" s="1">
        <f t="shared" si="6"/>
        <v>0</v>
      </c>
      <c r="W49" s="1">
        <f t="shared" si="6"/>
        <v>0</v>
      </c>
      <c r="X49" s="1">
        <f t="shared" si="6"/>
        <v>0</v>
      </c>
      <c r="Y49" s="1">
        <f t="shared" si="6"/>
        <v>0</v>
      </c>
      <c r="Z49" s="1">
        <f t="shared" si="6"/>
        <v>0</v>
      </c>
      <c r="AA49" s="1">
        <f t="shared" si="6"/>
        <v>0</v>
      </c>
      <c r="AD49" s="1">
        <f t="shared" si="7"/>
        <v>0</v>
      </c>
      <c r="AE49" s="1">
        <f t="shared" si="7"/>
        <v>0</v>
      </c>
      <c r="AF49" s="1">
        <f t="shared" si="7"/>
        <v>0</v>
      </c>
      <c r="AG49" s="1">
        <f t="shared" si="7"/>
        <v>0</v>
      </c>
      <c r="AH49" s="1">
        <f t="shared" si="7"/>
        <v>0</v>
      </c>
      <c r="AI49" s="1">
        <f t="shared" si="7"/>
        <v>0</v>
      </c>
      <c r="AJ49" s="1">
        <f t="shared" si="7"/>
        <v>0</v>
      </c>
      <c r="AK49" s="1">
        <f t="shared" si="7"/>
        <v>0</v>
      </c>
      <c r="AL49" s="1">
        <f t="shared" si="7"/>
        <v>0</v>
      </c>
      <c r="AM49" s="1">
        <f t="shared" si="7"/>
        <v>0</v>
      </c>
      <c r="AN49" s="1">
        <f t="shared" si="8"/>
        <v>0</v>
      </c>
      <c r="AO49" s="1">
        <f t="shared" si="8"/>
        <v>0</v>
      </c>
      <c r="AP49" s="1">
        <f t="shared" si="8"/>
        <v>0</v>
      </c>
      <c r="AQ49" s="1">
        <f t="shared" si="8"/>
        <v>0</v>
      </c>
      <c r="AR49" s="1">
        <f t="shared" si="8"/>
        <v>0</v>
      </c>
      <c r="AS49" s="1">
        <f t="shared" si="8"/>
        <v>0</v>
      </c>
      <c r="AT49" s="1">
        <f t="shared" si="8"/>
        <v>0</v>
      </c>
      <c r="AU49" s="1">
        <f t="shared" si="8"/>
        <v>0</v>
      </c>
    </row>
    <row r="50" spans="3:47" ht="14.25" x14ac:dyDescent="0.7">
      <c r="C50" s="1">
        <f>IF(D50="","",VLOOKUP(D50,データ!A:C,2,FALSE))</f>
        <v>18</v>
      </c>
      <c r="D50" s="6" t="str">
        <f>IFERROR(通算成績!B11,"")</f>
        <v>有村陸</v>
      </c>
      <c r="E50" s="1">
        <f t="shared" si="5"/>
        <v>0</v>
      </c>
      <c r="F50" s="1">
        <f t="shared" si="5"/>
        <v>0</v>
      </c>
      <c r="G50" s="1">
        <f t="shared" si="5"/>
        <v>0</v>
      </c>
      <c r="H50" s="1">
        <f t="shared" si="5"/>
        <v>0</v>
      </c>
      <c r="I50" s="1">
        <f t="shared" si="5"/>
        <v>0</v>
      </c>
      <c r="J50" s="1">
        <f t="shared" si="5"/>
        <v>0</v>
      </c>
      <c r="K50" s="1">
        <f t="shared" si="5"/>
        <v>0</v>
      </c>
      <c r="L50" s="1">
        <f t="shared" si="5"/>
        <v>0</v>
      </c>
      <c r="M50" s="1">
        <f t="shared" si="5"/>
        <v>0</v>
      </c>
      <c r="N50" s="1">
        <f t="shared" si="5"/>
        <v>0</v>
      </c>
      <c r="O50" s="1">
        <f t="shared" si="5"/>
        <v>0</v>
      </c>
      <c r="P50" s="1">
        <f t="shared" si="5"/>
        <v>0</v>
      </c>
      <c r="Q50" s="1">
        <f t="shared" si="5"/>
        <v>0</v>
      </c>
      <c r="R50" s="1">
        <f t="shared" si="5"/>
        <v>0</v>
      </c>
      <c r="S50" s="1">
        <f t="shared" si="5"/>
        <v>0</v>
      </c>
      <c r="T50" s="1">
        <f t="shared" si="5"/>
        <v>0</v>
      </c>
      <c r="U50" s="1">
        <f t="shared" si="6"/>
        <v>0</v>
      </c>
      <c r="V50" s="1">
        <f t="shared" si="6"/>
        <v>0</v>
      </c>
      <c r="W50" s="1">
        <f t="shared" si="6"/>
        <v>0</v>
      </c>
      <c r="X50" s="1">
        <f t="shared" si="6"/>
        <v>0</v>
      </c>
      <c r="Y50" s="1">
        <f t="shared" si="6"/>
        <v>0</v>
      </c>
      <c r="Z50" s="1">
        <f t="shared" si="6"/>
        <v>0</v>
      </c>
      <c r="AA50" s="1">
        <f t="shared" si="6"/>
        <v>0</v>
      </c>
      <c r="AD50" s="1">
        <f t="shared" si="7"/>
        <v>0</v>
      </c>
      <c r="AE50" s="1">
        <f t="shared" si="7"/>
        <v>0</v>
      </c>
      <c r="AF50" s="1">
        <f t="shared" si="7"/>
        <v>0</v>
      </c>
      <c r="AG50" s="1">
        <f t="shared" si="7"/>
        <v>0</v>
      </c>
      <c r="AH50" s="1">
        <f t="shared" si="7"/>
        <v>0</v>
      </c>
      <c r="AI50" s="1">
        <f t="shared" si="7"/>
        <v>0</v>
      </c>
      <c r="AJ50" s="1">
        <f t="shared" si="7"/>
        <v>0</v>
      </c>
      <c r="AK50" s="1">
        <f t="shared" si="7"/>
        <v>0</v>
      </c>
      <c r="AL50" s="1">
        <f t="shared" si="7"/>
        <v>0</v>
      </c>
      <c r="AM50" s="1">
        <f t="shared" si="7"/>
        <v>0</v>
      </c>
      <c r="AN50" s="1">
        <f t="shared" si="8"/>
        <v>0</v>
      </c>
      <c r="AO50" s="1">
        <f t="shared" si="8"/>
        <v>0</v>
      </c>
      <c r="AP50" s="1">
        <f t="shared" si="8"/>
        <v>0</v>
      </c>
      <c r="AQ50" s="1">
        <f t="shared" si="8"/>
        <v>0</v>
      </c>
      <c r="AR50" s="1">
        <f t="shared" si="8"/>
        <v>0</v>
      </c>
      <c r="AS50" s="1">
        <f t="shared" si="8"/>
        <v>0</v>
      </c>
      <c r="AT50" s="1">
        <f t="shared" si="8"/>
        <v>0</v>
      </c>
      <c r="AU50" s="1">
        <f t="shared" si="8"/>
        <v>0</v>
      </c>
    </row>
    <row r="51" spans="3:47" ht="14.25" x14ac:dyDescent="0.7">
      <c r="C51" s="1">
        <f>IF(D51="","",VLOOKUP(D51,データ!A:C,2,FALSE))</f>
        <v>21</v>
      </c>
      <c r="D51" s="6" t="str">
        <f>IFERROR(通算成績!B12,"")</f>
        <v>清水大基</v>
      </c>
      <c r="E51" s="1">
        <f t="shared" si="5"/>
        <v>0</v>
      </c>
      <c r="F51" s="1">
        <f t="shared" si="5"/>
        <v>0</v>
      </c>
      <c r="G51" s="1">
        <f t="shared" si="5"/>
        <v>0</v>
      </c>
      <c r="H51" s="1">
        <f t="shared" si="5"/>
        <v>0</v>
      </c>
      <c r="I51" s="1">
        <f t="shared" si="5"/>
        <v>0</v>
      </c>
      <c r="J51" s="1">
        <f t="shared" si="5"/>
        <v>0</v>
      </c>
      <c r="K51" s="1">
        <f t="shared" si="5"/>
        <v>0</v>
      </c>
      <c r="L51" s="1">
        <f t="shared" si="5"/>
        <v>0</v>
      </c>
      <c r="M51" s="1">
        <f t="shared" si="5"/>
        <v>0</v>
      </c>
      <c r="N51" s="1">
        <f t="shared" si="5"/>
        <v>0</v>
      </c>
      <c r="O51" s="1">
        <f t="shared" si="5"/>
        <v>0</v>
      </c>
      <c r="P51" s="1">
        <f t="shared" si="5"/>
        <v>0</v>
      </c>
      <c r="Q51" s="1">
        <f t="shared" si="5"/>
        <v>0</v>
      </c>
      <c r="R51" s="1">
        <f t="shared" si="5"/>
        <v>0</v>
      </c>
      <c r="S51" s="1">
        <f t="shared" si="5"/>
        <v>0</v>
      </c>
      <c r="T51" s="1">
        <f t="shared" si="5"/>
        <v>0</v>
      </c>
      <c r="U51" s="1">
        <f t="shared" si="6"/>
        <v>0</v>
      </c>
      <c r="V51" s="1">
        <f t="shared" si="6"/>
        <v>0</v>
      </c>
      <c r="W51" s="1">
        <f t="shared" si="6"/>
        <v>0</v>
      </c>
      <c r="X51" s="1">
        <f t="shared" si="6"/>
        <v>0</v>
      </c>
      <c r="Y51" s="1">
        <f t="shared" si="6"/>
        <v>0</v>
      </c>
      <c r="Z51" s="1">
        <f t="shared" si="6"/>
        <v>0</v>
      </c>
      <c r="AA51" s="1">
        <f t="shared" si="6"/>
        <v>0</v>
      </c>
      <c r="AD51" s="1">
        <f t="shared" si="7"/>
        <v>1</v>
      </c>
      <c r="AE51" s="1">
        <f t="shared" si="7"/>
        <v>0</v>
      </c>
      <c r="AF51" s="1">
        <f t="shared" si="7"/>
        <v>0</v>
      </c>
      <c r="AG51" s="1">
        <f t="shared" si="7"/>
        <v>0</v>
      </c>
      <c r="AH51" s="1">
        <f t="shared" si="7"/>
        <v>0</v>
      </c>
      <c r="AI51" s="1">
        <f t="shared" si="7"/>
        <v>0</v>
      </c>
      <c r="AJ51" s="1">
        <f t="shared" si="7"/>
        <v>6</v>
      </c>
      <c r="AK51" s="1">
        <f t="shared" si="7"/>
        <v>0</v>
      </c>
      <c r="AL51" s="1">
        <f t="shared" si="7"/>
        <v>0</v>
      </c>
      <c r="AM51" s="1">
        <f t="shared" si="7"/>
        <v>0</v>
      </c>
      <c r="AN51" s="1">
        <f t="shared" si="7"/>
        <v>0</v>
      </c>
      <c r="AO51" s="1">
        <f t="shared" si="7"/>
        <v>0</v>
      </c>
      <c r="AP51" s="1">
        <f t="shared" si="7"/>
        <v>0</v>
      </c>
      <c r="AQ51" s="1">
        <f t="shared" si="7"/>
        <v>0</v>
      </c>
      <c r="AR51" s="1">
        <f t="shared" si="7"/>
        <v>0</v>
      </c>
      <c r="AS51" s="1">
        <f t="shared" si="7"/>
        <v>0</v>
      </c>
      <c r="AT51" s="1">
        <f t="shared" si="8"/>
        <v>0</v>
      </c>
      <c r="AU51" s="1">
        <f t="shared" si="8"/>
        <v>0</v>
      </c>
    </row>
    <row r="52" spans="3:47" ht="14.25" x14ac:dyDescent="0.7">
      <c r="C52" s="1">
        <f>IF(D52="","",VLOOKUP(D52,データ!A:C,2,FALSE))</f>
        <v>21</v>
      </c>
      <c r="D52" s="6" t="str">
        <f>IFERROR(通算成績!B13,"")</f>
        <v>山内惇寛</v>
      </c>
      <c r="E52" s="1">
        <f t="shared" si="5"/>
        <v>0</v>
      </c>
      <c r="F52" s="1">
        <f t="shared" si="5"/>
        <v>0</v>
      </c>
      <c r="G52" s="1">
        <f t="shared" si="5"/>
        <v>0</v>
      </c>
      <c r="H52" s="1">
        <f t="shared" si="5"/>
        <v>0</v>
      </c>
      <c r="I52" s="1">
        <f t="shared" si="5"/>
        <v>0</v>
      </c>
      <c r="J52" s="1">
        <f t="shared" si="5"/>
        <v>0</v>
      </c>
      <c r="K52" s="1">
        <f t="shared" si="5"/>
        <v>0</v>
      </c>
      <c r="L52" s="1">
        <f t="shared" si="5"/>
        <v>0</v>
      </c>
      <c r="M52" s="1">
        <f t="shared" si="5"/>
        <v>0</v>
      </c>
      <c r="N52" s="1">
        <f t="shared" si="5"/>
        <v>0</v>
      </c>
      <c r="O52" s="1">
        <f t="shared" si="5"/>
        <v>0</v>
      </c>
      <c r="P52" s="1">
        <f t="shared" si="5"/>
        <v>0</v>
      </c>
      <c r="Q52" s="1">
        <f t="shared" si="5"/>
        <v>0</v>
      </c>
      <c r="R52" s="1">
        <f t="shared" si="5"/>
        <v>0</v>
      </c>
      <c r="S52" s="1">
        <f t="shared" si="5"/>
        <v>0</v>
      </c>
      <c r="T52" s="1">
        <f t="shared" si="5"/>
        <v>0</v>
      </c>
      <c r="U52" s="1">
        <f t="shared" si="6"/>
        <v>0</v>
      </c>
      <c r="V52" s="1">
        <f t="shared" si="6"/>
        <v>0</v>
      </c>
      <c r="W52" s="1">
        <f t="shared" si="6"/>
        <v>0</v>
      </c>
      <c r="X52" s="1">
        <f t="shared" si="6"/>
        <v>0</v>
      </c>
      <c r="Y52" s="1">
        <f t="shared" si="6"/>
        <v>0</v>
      </c>
      <c r="Z52" s="1">
        <f t="shared" si="6"/>
        <v>0</v>
      </c>
      <c r="AA52" s="1">
        <f t="shared" si="6"/>
        <v>0</v>
      </c>
      <c r="AD52" s="1">
        <f t="shared" si="7"/>
        <v>0</v>
      </c>
      <c r="AE52" s="1">
        <f t="shared" si="7"/>
        <v>0</v>
      </c>
      <c r="AF52" s="1">
        <f t="shared" si="7"/>
        <v>0</v>
      </c>
      <c r="AG52" s="1">
        <f t="shared" si="7"/>
        <v>0</v>
      </c>
      <c r="AH52" s="1">
        <f t="shared" si="7"/>
        <v>0</v>
      </c>
      <c r="AI52" s="1">
        <f t="shared" si="7"/>
        <v>0</v>
      </c>
      <c r="AJ52" s="1">
        <f t="shared" si="7"/>
        <v>0</v>
      </c>
      <c r="AK52" s="1">
        <f t="shared" si="7"/>
        <v>0</v>
      </c>
      <c r="AL52" s="1">
        <f t="shared" si="7"/>
        <v>0</v>
      </c>
      <c r="AM52" s="1">
        <f t="shared" si="7"/>
        <v>0</v>
      </c>
      <c r="AN52" s="1">
        <f t="shared" si="7"/>
        <v>0</v>
      </c>
      <c r="AO52" s="1">
        <f t="shared" si="7"/>
        <v>0</v>
      </c>
      <c r="AP52" s="1">
        <f t="shared" si="7"/>
        <v>0</v>
      </c>
      <c r="AQ52" s="1">
        <f t="shared" si="7"/>
        <v>0</v>
      </c>
      <c r="AR52" s="1">
        <f t="shared" si="7"/>
        <v>0</v>
      </c>
      <c r="AS52" s="1">
        <f t="shared" si="7"/>
        <v>0</v>
      </c>
      <c r="AT52" s="1">
        <f t="shared" si="8"/>
        <v>0</v>
      </c>
      <c r="AU52" s="1">
        <f t="shared" si="8"/>
        <v>0</v>
      </c>
    </row>
    <row r="53" spans="3:47" ht="14.25" x14ac:dyDescent="0.7">
      <c r="C53" s="1">
        <f>IF(D53="","",VLOOKUP(D53,データ!A:C,2,FALSE))</f>
        <v>23</v>
      </c>
      <c r="D53" s="6" t="str">
        <f>IFERROR(通算成績!B14,"")</f>
        <v>堀江崇太</v>
      </c>
      <c r="E53" s="1">
        <f t="shared" si="5"/>
        <v>0</v>
      </c>
      <c r="F53" s="1">
        <f t="shared" si="5"/>
        <v>0</v>
      </c>
      <c r="G53" s="1">
        <f t="shared" si="5"/>
        <v>0</v>
      </c>
      <c r="H53" s="1">
        <f t="shared" si="5"/>
        <v>0</v>
      </c>
      <c r="I53" s="1">
        <f t="shared" si="5"/>
        <v>0</v>
      </c>
      <c r="J53" s="1">
        <f t="shared" si="5"/>
        <v>0</v>
      </c>
      <c r="K53" s="1">
        <f t="shared" si="5"/>
        <v>0</v>
      </c>
      <c r="L53" s="1">
        <f t="shared" si="5"/>
        <v>0</v>
      </c>
      <c r="M53" s="1">
        <f t="shared" si="5"/>
        <v>0</v>
      </c>
      <c r="N53" s="1">
        <f t="shared" si="5"/>
        <v>0</v>
      </c>
      <c r="O53" s="1">
        <f t="shared" si="5"/>
        <v>0</v>
      </c>
      <c r="P53" s="1">
        <f t="shared" si="5"/>
        <v>0</v>
      </c>
      <c r="Q53" s="1">
        <f t="shared" si="5"/>
        <v>0</v>
      </c>
      <c r="R53" s="1">
        <f t="shared" si="5"/>
        <v>0</v>
      </c>
      <c r="S53" s="1">
        <f t="shared" si="5"/>
        <v>0</v>
      </c>
      <c r="T53" s="1">
        <f t="shared" si="5"/>
        <v>0</v>
      </c>
      <c r="U53" s="1">
        <f t="shared" si="6"/>
        <v>0</v>
      </c>
      <c r="V53" s="1">
        <f t="shared" si="6"/>
        <v>0</v>
      </c>
      <c r="W53" s="1">
        <f t="shared" si="6"/>
        <v>0</v>
      </c>
      <c r="X53" s="1">
        <f t="shared" si="6"/>
        <v>0</v>
      </c>
      <c r="Y53" s="1">
        <f t="shared" si="6"/>
        <v>0</v>
      </c>
      <c r="Z53" s="1">
        <f t="shared" si="6"/>
        <v>0</v>
      </c>
      <c r="AA53" s="1">
        <f t="shared" si="6"/>
        <v>0</v>
      </c>
      <c r="AD53" s="1">
        <f t="shared" si="7"/>
        <v>0</v>
      </c>
      <c r="AE53" s="1">
        <f t="shared" si="7"/>
        <v>0</v>
      </c>
      <c r="AF53" s="1">
        <f t="shared" si="7"/>
        <v>0</v>
      </c>
      <c r="AG53" s="1">
        <f t="shared" si="7"/>
        <v>0</v>
      </c>
      <c r="AH53" s="1">
        <f t="shared" si="7"/>
        <v>0</v>
      </c>
      <c r="AI53" s="1">
        <f t="shared" si="7"/>
        <v>0</v>
      </c>
      <c r="AJ53" s="1">
        <f t="shared" si="7"/>
        <v>0</v>
      </c>
      <c r="AK53" s="1">
        <f t="shared" si="7"/>
        <v>0</v>
      </c>
      <c r="AL53" s="1">
        <f t="shared" si="7"/>
        <v>0</v>
      </c>
      <c r="AM53" s="1">
        <f t="shared" si="7"/>
        <v>0</v>
      </c>
      <c r="AN53" s="1">
        <f t="shared" si="7"/>
        <v>0</v>
      </c>
      <c r="AO53" s="1">
        <f t="shared" si="7"/>
        <v>0</v>
      </c>
      <c r="AP53" s="1">
        <f t="shared" si="7"/>
        <v>0</v>
      </c>
      <c r="AQ53" s="1">
        <f t="shared" si="7"/>
        <v>0</v>
      </c>
      <c r="AR53" s="1">
        <f t="shared" si="7"/>
        <v>0</v>
      </c>
      <c r="AS53" s="1">
        <f t="shared" si="7"/>
        <v>0</v>
      </c>
      <c r="AT53" s="1">
        <f t="shared" si="8"/>
        <v>0</v>
      </c>
      <c r="AU53" s="1">
        <f t="shared" si="8"/>
        <v>0</v>
      </c>
    </row>
    <row r="54" spans="3:47" ht="14.25" x14ac:dyDescent="0.7">
      <c r="C54" s="1">
        <f>IF(D54="","",VLOOKUP(D54,データ!A:C,2,FALSE))</f>
        <v>25</v>
      </c>
      <c r="D54" s="6" t="str">
        <f>IFERROR(通算成績!B15,"")</f>
        <v>汐田藍斗</v>
      </c>
      <c r="E54" s="1">
        <f t="shared" si="5"/>
        <v>0</v>
      </c>
      <c r="F54" s="1">
        <f t="shared" si="5"/>
        <v>0</v>
      </c>
      <c r="G54" s="1">
        <f t="shared" si="5"/>
        <v>0</v>
      </c>
      <c r="H54" s="1">
        <f t="shared" si="5"/>
        <v>0</v>
      </c>
      <c r="I54" s="1">
        <f t="shared" si="5"/>
        <v>0</v>
      </c>
      <c r="J54" s="1">
        <f t="shared" si="5"/>
        <v>0</v>
      </c>
      <c r="K54" s="1">
        <f t="shared" si="5"/>
        <v>0</v>
      </c>
      <c r="L54" s="1">
        <f t="shared" si="5"/>
        <v>0</v>
      </c>
      <c r="M54" s="1">
        <f t="shared" si="5"/>
        <v>0</v>
      </c>
      <c r="N54" s="1">
        <f t="shared" si="5"/>
        <v>0</v>
      </c>
      <c r="O54" s="1">
        <f t="shared" si="5"/>
        <v>0</v>
      </c>
      <c r="P54" s="1">
        <f t="shared" si="5"/>
        <v>0</v>
      </c>
      <c r="Q54" s="1">
        <f t="shared" si="5"/>
        <v>0</v>
      </c>
      <c r="R54" s="1">
        <f t="shared" si="5"/>
        <v>0</v>
      </c>
      <c r="S54" s="1">
        <f t="shared" si="5"/>
        <v>0</v>
      </c>
      <c r="T54" s="1">
        <f t="shared" si="5"/>
        <v>0</v>
      </c>
      <c r="U54" s="1">
        <f t="shared" si="6"/>
        <v>0</v>
      </c>
      <c r="V54" s="1">
        <f t="shared" si="6"/>
        <v>0</v>
      </c>
      <c r="W54" s="1">
        <f t="shared" si="6"/>
        <v>0</v>
      </c>
      <c r="X54" s="1">
        <f t="shared" si="6"/>
        <v>0</v>
      </c>
      <c r="Y54" s="1">
        <f t="shared" si="6"/>
        <v>0</v>
      </c>
      <c r="Z54" s="1">
        <f t="shared" si="6"/>
        <v>0</v>
      </c>
      <c r="AA54" s="1">
        <f t="shared" si="6"/>
        <v>0</v>
      </c>
      <c r="AD54" s="1">
        <f t="shared" si="7"/>
        <v>0</v>
      </c>
      <c r="AE54" s="1">
        <f t="shared" si="7"/>
        <v>0</v>
      </c>
      <c r="AF54" s="1">
        <f t="shared" si="7"/>
        <v>0</v>
      </c>
      <c r="AG54" s="1">
        <f t="shared" si="7"/>
        <v>0</v>
      </c>
      <c r="AH54" s="1">
        <f t="shared" si="7"/>
        <v>0</v>
      </c>
      <c r="AI54" s="1">
        <f t="shared" si="7"/>
        <v>0</v>
      </c>
      <c r="AJ54" s="1">
        <f t="shared" si="7"/>
        <v>0</v>
      </c>
      <c r="AK54" s="1">
        <f t="shared" si="7"/>
        <v>0</v>
      </c>
      <c r="AL54" s="1">
        <f t="shared" si="7"/>
        <v>0</v>
      </c>
      <c r="AM54" s="1">
        <f t="shared" si="7"/>
        <v>0</v>
      </c>
      <c r="AN54" s="1">
        <f t="shared" si="7"/>
        <v>0</v>
      </c>
      <c r="AO54" s="1">
        <f t="shared" si="7"/>
        <v>0</v>
      </c>
      <c r="AP54" s="1">
        <f t="shared" si="7"/>
        <v>0</v>
      </c>
      <c r="AQ54" s="1">
        <f t="shared" si="7"/>
        <v>0</v>
      </c>
      <c r="AR54" s="1">
        <f t="shared" si="7"/>
        <v>0</v>
      </c>
      <c r="AS54" s="1">
        <f t="shared" si="7"/>
        <v>0</v>
      </c>
      <c r="AT54" s="1">
        <f t="shared" si="8"/>
        <v>0</v>
      </c>
      <c r="AU54" s="1">
        <f t="shared" si="8"/>
        <v>0</v>
      </c>
    </row>
    <row r="55" spans="3:47" ht="14.25" x14ac:dyDescent="0.7">
      <c r="C55" s="1">
        <f>IF(D55="","",VLOOKUP(D55,データ!A:C,2,FALSE))</f>
        <v>26</v>
      </c>
      <c r="D55" s="6" t="str">
        <f>IFERROR(通算成績!B16,"")</f>
        <v>森奨真</v>
      </c>
      <c r="E55" s="1">
        <f t="shared" si="5"/>
        <v>0</v>
      </c>
      <c r="F55" s="1">
        <f t="shared" si="5"/>
        <v>0</v>
      </c>
      <c r="G55" s="1">
        <f t="shared" si="5"/>
        <v>0</v>
      </c>
      <c r="H55" s="1">
        <f t="shared" si="5"/>
        <v>0</v>
      </c>
      <c r="I55" s="1">
        <f t="shared" si="5"/>
        <v>0</v>
      </c>
      <c r="J55" s="1">
        <f t="shared" si="5"/>
        <v>0</v>
      </c>
      <c r="K55" s="1">
        <f t="shared" si="5"/>
        <v>0</v>
      </c>
      <c r="L55" s="1">
        <f t="shared" si="5"/>
        <v>0</v>
      </c>
      <c r="M55" s="1">
        <f t="shared" si="5"/>
        <v>0</v>
      </c>
      <c r="N55" s="1">
        <f t="shared" si="5"/>
        <v>0</v>
      </c>
      <c r="O55" s="1">
        <f t="shared" si="5"/>
        <v>0</v>
      </c>
      <c r="P55" s="1">
        <f t="shared" si="5"/>
        <v>0</v>
      </c>
      <c r="Q55" s="1">
        <f t="shared" si="5"/>
        <v>0</v>
      </c>
      <c r="R55" s="1">
        <f t="shared" si="5"/>
        <v>0</v>
      </c>
      <c r="S55" s="1">
        <f t="shared" si="5"/>
        <v>0</v>
      </c>
      <c r="T55" s="1">
        <f t="shared" si="5"/>
        <v>0</v>
      </c>
      <c r="U55" s="1">
        <f t="shared" si="6"/>
        <v>0</v>
      </c>
      <c r="V55" s="1">
        <f t="shared" si="6"/>
        <v>0</v>
      </c>
      <c r="W55" s="1">
        <f t="shared" si="6"/>
        <v>0</v>
      </c>
      <c r="X55" s="1">
        <f t="shared" si="6"/>
        <v>0</v>
      </c>
      <c r="Y55" s="1">
        <f t="shared" si="6"/>
        <v>0</v>
      </c>
      <c r="Z55" s="1">
        <f t="shared" si="6"/>
        <v>0</v>
      </c>
      <c r="AA55" s="1">
        <f t="shared" si="6"/>
        <v>0</v>
      </c>
      <c r="AD55" s="1">
        <f t="shared" si="7"/>
        <v>0</v>
      </c>
      <c r="AE55" s="1">
        <f t="shared" si="7"/>
        <v>0</v>
      </c>
      <c r="AF55" s="1">
        <f t="shared" si="7"/>
        <v>0</v>
      </c>
      <c r="AG55" s="1">
        <f t="shared" si="7"/>
        <v>0</v>
      </c>
      <c r="AH55" s="1">
        <f t="shared" si="7"/>
        <v>0</v>
      </c>
      <c r="AI55" s="1">
        <f t="shared" si="7"/>
        <v>0</v>
      </c>
      <c r="AJ55" s="1">
        <f t="shared" si="7"/>
        <v>0</v>
      </c>
      <c r="AK55" s="1">
        <f t="shared" si="7"/>
        <v>0</v>
      </c>
      <c r="AL55" s="1">
        <f t="shared" si="7"/>
        <v>0</v>
      </c>
      <c r="AM55" s="1">
        <f t="shared" si="7"/>
        <v>0</v>
      </c>
      <c r="AN55" s="1">
        <f t="shared" si="7"/>
        <v>0</v>
      </c>
      <c r="AO55" s="1">
        <f t="shared" si="7"/>
        <v>0</v>
      </c>
      <c r="AP55" s="1">
        <f t="shared" si="7"/>
        <v>0</v>
      </c>
      <c r="AQ55" s="1">
        <f t="shared" si="7"/>
        <v>0</v>
      </c>
      <c r="AR55" s="1">
        <f t="shared" si="7"/>
        <v>0</v>
      </c>
      <c r="AS55" s="1">
        <f t="shared" si="7"/>
        <v>0</v>
      </c>
      <c r="AT55" s="1">
        <f t="shared" si="8"/>
        <v>0</v>
      </c>
      <c r="AU55" s="1">
        <f t="shared" si="8"/>
        <v>0</v>
      </c>
    </row>
    <row r="56" spans="3:47" ht="14.25" x14ac:dyDescent="0.7">
      <c r="C56" s="1">
        <f>IF(D56="","",VLOOKUP(D56,データ!A:C,2,FALSE))</f>
        <v>33</v>
      </c>
      <c r="D56" s="6" t="str">
        <f>IFERROR(通算成績!B17,"")</f>
        <v>福本陽介</v>
      </c>
      <c r="E56" s="1">
        <f t="shared" si="5"/>
        <v>4</v>
      </c>
      <c r="F56" s="1">
        <f t="shared" si="5"/>
        <v>3</v>
      </c>
      <c r="G56" s="1">
        <f t="shared" si="5"/>
        <v>0</v>
      </c>
      <c r="H56" s="1">
        <f t="shared" si="5"/>
        <v>0</v>
      </c>
      <c r="I56" s="1">
        <f t="shared" si="5"/>
        <v>0</v>
      </c>
      <c r="J56" s="1">
        <f t="shared" si="5"/>
        <v>0</v>
      </c>
      <c r="K56" s="1">
        <f t="shared" si="5"/>
        <v>0</v>
      </c>
      <c r="L56" s="1">
        <f t="shared" si="5"/>
        <v>0</v>
      </c>
      <c r="M56" s="1">
        <f t="shared" si="5"/>
        <v>0</v>
      </c>
      <c r="N56" s="1">
        <f t="shared" si="5"/>
        <v>0</v>
      </c>
      <c r="O56" s="1">
        <f t="shared" si="5"/>
        <v>0</v>
      </c>
      <c r="P56" s="1">
        <f t="shared" si="5"/>
        <v>1</v>
      </c>
      <c r="Q56" s="1">
        <f t="shared" si="5"/>
        <v>1</v>
      </c>
      <c r="R56" s="1">
        <f t="shared" si="5"/>
        <v>1</v>
      </c>
      <c r="S56" s="1">
        <f t="shared" si="5"/>
        <v>0</v>
      </c>
      <c r="T56" s="1">
        <f t="shared" ref="T56" si="9">IFERROR(VLOOKUP($D56,$D$10:$AA$29,T$71,FALSE),0)</f>
        <v>0</v>
      </c>
      <c r="U56" s="1">
        <f t="shared" si="6"/>
        <v>0</v>
      </c>
      <c r="V56" s="1">
        <f t="shared" si="6"/>
        <v>0</v>
      </c>
      <c r="W56" s="1">
        <f t="shared" si="6"/>
        <v>0</v>
      </c>
      <c r="X56" s="1">
        <f t="shared" si="6"/>
        <v>0</v>
      </c>
      <c r="Y56" s="1">
        <f t="shared" si="6"/>
        <v>3</v>
      </c>
      <c r="Z56" s="1">
        <f t="shared" si="6"/>
        <v>1</v>
      </c>
      <c r="AA56" s="1">
        <f t="shared" si="6"/>
        <v>0</v>
      </c>
      <c r="AD56" s="1">
        <f t="shared" si="7"/>
        <v>0</v>
      </c>
      <c r="AE56" s="1">
        <f t="shared" si="7"/>
        <v>0</v>
      </c>
      <c r="AF56" s="1">
        <f t="shared" si="7"/>
        <v>0</v>
      </c>
      <c r="AG56" s="1">
        <f t="shared" si="7"/>
        <v>0</v>
      </c>
      <c r="AH56" s="1">
        <f t="shared" si="7"/>
        <v>0</v>
      </c>
      <c r="AI56" s="1">
        <f t="shared" si="7"/>
        <v>0</v>
      </c>
      <c r="AJ56" s="1">
        <f t="shared" si="7"/>
        <v>0</v>
      </c>
      <c r="AK56" s="1">
        <f t="shared" si="7"/>
        <v>0</v>
      </c>
      <c r="AL56" s="1">
        <f t="shared" si="7"/>
        <v>0</v>
      </c>
      <c r="AM56" s="1">
        <f t="shared" si="7"/>
        <v>0</v>
      </c>
      <c r="AN56" s="1">
        <f t="shared" si="7"/>
        <v>0</v>
      </c>
      <c r="AO56" s="1">
        <f t="shared" si="7"/>
        <v>0</v>
      </c>
      <c r="AP56" s="1">
        <f t="shared" si="7"/>
        <v>0</v>
      </c>
      <c r="AQ56" s="1">
        <f t="shared" si="7"/>
        <v>0</v>
      </c>
      <c r="AR56" s="1">
        <f t="shared" si="7"/>
        <v>0</v>
      </c>
      <c r="AS56" s="1">
        <f t="shared" si="7"/>
        <v>0</v>
      </c>
      <c r="AT56" s="1">
        <f t="shared" si="8"/>
        <v>0</v>
      </c>
      <c r="AU56" s="1">
        <f t="shared" si="8"/>
        <v>0</v>
      </c>
    </row>
    <row r="57" spans="3:47" ht="14.25" x14ac:dyDescent="0.7">
      <c r="C57" s="1">
        <f>IF(D57="","",VLOOKUP(D57,データ!A:C,2,FALSE))</f>
        <v>46</v>
      </c>
      <c r="D57" s="6" t="str">
        <f>IFERROR(通算成績!B18,"")</f>
        <v>安井理一郎</v>
      </c>
      <c r="E57" s="1">
        <f t="shared" ref="E57:T70" si="10">IFERROR(VLOOKUP($D57,$D$10:$AA$29,E$71,FALSE),0)</f>
        <v>0</v>
      </c>
      <c r="F57" s="1">
        <f t="shared" si="10"/>
        <v>0</v>
      </c>
      <c r="G57" s="1">
        <f t="shared" si="10"/>
        <v>0</v>
      </c>
      <c r="H57" s="1">
        <f t="shared" si="10"/>
        <v>0</v>
      </c>
      <c r="I57" s="1">
        <f t="shared" si="10"/>
        <v>0</v>
      </c>
      <c r="J57" s="1">
        <f t="shared" si="10"/>
        <v>0</v>
      </c>
      <c r="K57" s="1">
        <f t="shared" si="10"/>
        <v>0</v>
      </c>
      <c r="L57" s="1">
        <f t="shared" si="10"/>
        <v>0</v>
      </c>
      <c r="M57" s="1">
        <f t="shared" si="10"/>
        <v>0</v>
      </c>
      <c r="N57" s="1">
        <f t="shared" si="10"/>
        <v>0</v>
      </c>
      <c r="O57" s="1">
        <f t="shared" si="10"/>
        <v>0</v>
      </c>
      <c r="P57" s="1">
        <f t="shared" si="10"/>
        <v>0</v>
      </c>
      <c r="Q57" s="1">
        <f t="shared" si="10"/>
        <v>0</v>
      </c>
      <c r="R57" s="1">
        <f t="shared" si="10"/>
        <v>0</v>
      </c>
      <c r="S57" s="1">
        <f t="shared" si="10"/>
        <v>0</v>
      </c>
      <c r="T57" s="1">
        <f t="shared" si="10"/>
        <v>0</v>
      </c>
      <c r="U57" s="1">
        <f t="shared" ref="U57:AA70" si="11">IFERROR(VLOOKUP($D57,$D$10:$AA$29,U$71,FALSE),0)</f>
        <v>0</v>
      </c>
      <c r="V57" s="1">
        <f t="shared" si="11"/>
        <v>0</v>
      </c>
      <c r="W57" s="1">
        <f t="shared" si="11"/>
        <v>0</v>
      </c>
      <c r="X57" s="1">
        <f t="shared" si="11"/>
        <v>0</v>
      </c>
      <c r="Y57" s="1">
        <f t="shared" si="11"/>
        <v>0</v>
      </c>
      <c r="Z57" s="1">
        <f t="shared" si="11"/>
        <v>0</v>
      </c>
      <c r="AA57" s="1">
        <f t="shared" si="11"/>
        <v>0</v>
      </c>
      <c r="AD57" s="1">
        <f t="shared" ref="AD57:AS70" si="12">IFERROR(VLOOKUP($D57,$AC$10:$AU$29,AD$71,FALSE),0)</f>
        <v>0</v>
      </c>
      <c r="AE57" s="1">
        <f t="shared" si="12"/>
        <v>0</v>
      </c>
      <c r="AF57" s="1">
        <f t="shared" si="12"/>
        <v>0</v>
      </c>
      <c r="AG57" s="1">
        <f t="shared" si="12"/>
        <v>0</v>
      </c>
      <c r="AH57" s="1">
        <f t="shared" si="12"/>
        <v>0</v>
      </c>
      <c r="AI57" s="1">
        <f t="shared" si="12"/>
        <v>0</v>
      </c>
      <c r="AJ57" s="1">
        <f t="shared" si="12"/>
        <v>0</v>
      </c>
      <c r="AK57" s="1">
        <f t="shared" si="12"/>
        <v>0</v>
      </c>
      <c r="AL57" s="1">
        <f t="shared" si="12"/>
        <v>0</v>
      </c>
      <c r="AM57" s="1">
        <f t="shared" si="12"/>
        <v>0</v>
      </c>
      <c r="AN57" s="1">
        <f t="shared" si="12"/>
        <v>0</v>
      </c>
      <c r="AO57" s="1">
        <f t="shared" si="12"/>
        <v>0</v>
      </c>
      <c r="AP57" s="1">
        <f t="shared" si="12"/>
        <v>0</v>
      </c>
      <c r="AQ57" s="1">
        <f t="shared" si="12"/>
        <v>0</v>
      </c>
      <c r="AR57" s="1">
        <f t="shared" si="12"/>
        <v>0</v>
      </c>
      <c r="AS57" s="1">
        <f t="shared" si="12"/>
        <v>0</v>
      </c>
      <c r="AT57" s="1">
        <f t="shared" ref="AN57:AU70" si="13">IFERROR(VLOOKUP($D57,$AC$10:$AU$29,AT$71,FALSE),0)</f>
        <v>0</v>
      </c>
      <c r="AU57" s="1">
        <f t="shared" si="13"/>
        <v>0</v>
      </c>
    </row>
    <row r="58" spans="3:47" ht="14.25" x14ac:dyDescent="0.7">
      <c r="C58" s="1">
        <f>IF(D58="","",VLOOKUP(D58,データ!A:C,2,FALSE))</f>
        <v>47</v>
      </c>
      <c r="D58" s="6" t="str">
        <f>IFERROR(通算成績!B19,"")</f>
        <v>簾圭智</v>
      </c>
      <c r="E58" s="1">
        <f t="shared" si="10"/>
        <v>0</v>
      </c>
      <c r="F58" s="1">
        <f t="shared" si="10"/>
        <v>0</v>
      </c>
      <c r="G58" s="1">
        <f t="shared" si="10"/>
        <v>0</v>
      </c>
      <c r="H58" s="1">
        <f t="shared" si="10"/>
        <v>0</v>
      </c>
      <c r="I58" s="1">
        <f t="shared" si="10"/>
        <v>0</v>
      </c>
      <c r="J58" s="1">
        <f t="shared" si="10"/>
        <v>0</v>
      </c>
      <c r="K58" s="1">
        <f t="shared" si="10"/>
        <v>0</v>
      </c>
      <c r="L58" s="1">
        <f t="shared" si="10"/>
        <v>0</v>
      </c>
      <c r="M58" s="1">
        <f t="shared" si="10"/>
        <v>0</v>
      </c>
      <c r="N58" s="1">
        <f t="shared" si="10"/>
        <v>0</v>
      </c>
      <c r="O58" s="1">
        <f t="shared" si="10"/>
        <v>0</v>
      </c>
      <c r="P58" s="1">
        <f t="shared" si="10"/>
        <v>0</v>
      </c>
      <c r="Q58" s="1">
        <f t="shared" si="10"/>
        <v>0</v>
      </c>
      <c r="R58" s="1">
        <f t="shared" si="10"/>
        <v>0</v>
      </c>
      <c r="S58" s="1">
        <f t="shared" si="10"/>
        <v>0</v>
      </c>
      <c r="T58" s="1">
        <f t="shared" si="10"/>
        <v>0</v>
      </c>
      <c r="U58" s="1">
        <f t="shared" si="11"/>
        <v>0</v>
      </c>
      <c r="V58" s="1">
        <f t="shared" si="11"/>
        <v>0</v>
      </c>
      <c r="W58" s="1">
        <f t="shared" si="11"/>
        <v>0</v>
      </c>
      <c r="X58" s="1">
        <f t="shared" si="11"/>
        <v>0</v>
      </c>
      <c r="Y58" s="1">
        <f t="shared" si="11"/>
        <v>0</v>
      </c>
      <c r="Z58" s="1">
        <f t="shared" si="11"/>
        <v>0</v>
      </c>
      <c r="AA58" s="1">
        <f t="shared" si="11"/>
        <v>0</v>
      </c>
      <c r="AD58" s="1">
        <f t="shared" si="12"/>
        <v>0</v>
      </c>
      <c r="AE58" s="1">
        <f t="shared" si="12"/>
        <v>0</v>
      </c>
      <c r="AF58" s="1">
        <f t="shared" si="12"/>
        <v>0</v>
      </c>
      <c r="AG58" s="1">
        <f t="shared" si="12"/>
        <v>0</v>
      </c>
      <c r="AH58" s="1">
        <f t="shared" si="12"/>
        <v>0</v>
      </c>
      <c r="AI58" s="1">
        <f t="shared" si="12"/>
        <v>0</v>
      </c>
      <c r="AJ58" s="1">
        <f t="shared" si="12"/>
        <v>0</v>
      </c>
      <c r="AK58" s="1">
        <f t="shared" si="12"/>
        <v>0</v>
      </c>
      <c r="AL58" s="1">
        <f t="shared" si="12"/>
        <v>0</v>
      </c>
      <c r="AM58" s="1">
        <f t="shared" si="12"/>
        <v>0</v>
      </c>
      <c r="AN58" s="1">
        <f t="shared" si="12"/>
        <v>0</v>
      </c>
      <c r="AO58" s="1">
        <f t="shared" si="12"/>
        <v>0</v>
      </c>
      <c r="AP58" s="1">
        <f t="shared" si="12"/>
        <v>0</v>
      </c>
      <c r="AQ58" s="1">
        <f t="shared" si="12"/>
        <v>0</v>
      </c>
      <c r="AR58" s="1">
        <f t="shared" si="12"/>
        <v>0</v>
      </c>
      <c r="AS58" s="1">
        <f t="shared" si="12"/>
        <v>0</v>
      </c>
      <c r="AT58" s="1">
        <f t="shared" si="13"/>
        <v>0</v>
      </c>
      <c r="AU58" s="1">
        <f t="shared" si="13"/>
        <v>0</v>
      </c>
    </row>
    <row r="59" spans="3:47" ht="14.25" x14ac:dyDescent="0.7">
      <c r="C59" s="1">
        <f>IF(D59="","",VLOOKUP(D59,データ!A:C,2,FALSE))</f>
        <v>50</v>
      </c>
      <c r="D59" s="6" t="str">
        <f>IFERROR(通算成績!B20,"")</f>
        <v>陣内勇冴</v>
      </c>
      <c r="E59" s="1">
        <f t="shared" si="10"/>
        <v>0</v>
      </c>
      <c r="F59" s="1">
        <f t="shared" si="10"/>
        <v>0</v>
      </c>
      <c r="G59" s="1">
        <f t="shared" si="10"/>
        <v>0</v>
      </c>
      <c r="H59" s="1">
        <f t="shared" si="10"/>
        <v>0</v>
      </c>
      <c r="I59" s="1">
        <f t="shared" si="10"/>
        <v>0</v>
      </c>
      <c r="J59" s="1">
        <f t="shared" si="10"/>
        <v>0</v>
      </c>
      <c r="K59" s="1">
        <f t="shared" si="10"/>
        <v>0</v>
      </c>
      <c r="L59" s="1">
        <f t="shared" si="10"/>
        <v>0</v>
      </c>
      <c r="M59" s="1">
        <f t="shared" si="10"/>
        <v>0</v>
      </c>
      <c r="N59" s="1">
        <f t="shared" si="10"/>
        <v>0</v>
      </c>
      <c r="O59" s="1">
        <f t="shared" si="10"/>
        <v>0</v>
      </c>
      <c r="P59" s="1">
        <f t="shared" si="10"/>
        <v>0</v>
      </c>
      <c r="Q59" s="1">
        <f t="shared" si="10"/>
        <v>0</v>
      </c>
      <c r="R59" s="1">
        <f t="shared" si="10"/>
        <v>0</v>
      </c>
      <c r="S59" s="1">
        <f t="shared" si="10"/>
        <v>0</v>
      </c>
      <c r="T59" s="1">
        <f t="shared" si="10"/>
        <v>0</v>
      </c>
      <c r="U59" s="1">
        <f t="shared" si="11"/>
        <v>0</v>
      </c>
      <c r="V59" s="1">
        <f t="shared" si="11"/>
        <v>0</v>
      </c>
      <c r="W59" s="1">
        <f t="shared" si="11"/>
        <v>0</v>
      </c>
      <c r="X59" s="1">
        <f t="shared" si="11"/>
        <v>0</v>
      </c>
      <c r="Y59" s="1">
        <f t="shared" si="11"/>
        <v>0</v>
      </c>
      <c r="Z59" s="1">
        <f t="shared" si="11"/>
        <v>0</v>
      </c>
      <c r="AA59" s="1">
        <f t="shared" si="11"/>
        <v>0</v>
      </c>
      <c r="AD59" s="1">
        <f t="shared" si="12"/>
        <v>0</v>
      </c>
      <c r="AE59" s="1">
        <f t="shared" si="12"/>
        <v>0</v>
      </c>
      <c r="AF59" s="1">
        <f t="shared" si="12"/>
        <v>0</v>
      </c>
      <c r="AG59" s="1">
        <f t="shared" si="12"/>
        <v>0</v>
      </c>
      <c r="AH59" s="1">
        <f t="shared" si="12"/>
        <v>0</v>
      </c>
      <c r="AI59" s="1">
        <f t="shared" si="12"/>
        <v>0</v>
      </c>
      <c r="AJ59" s="1">
        <f t="shared" si="12"/>
        <v>0</v>
      </c>
      <c r="AK59" s="1">
        <f t="shared" si="12"/>
        <v>0</v>
      </c>
      <c r="AL59" s="1">
        <f t="shared" si="12"/>
        <v>0</v>
      </c>
      <c r="AM59" s="1">
        <f t="shared" si="12"/>
        <v>0</v>
      </c>
      <c r="AN59" s="1">
        <f t="shared" si="12"/>
        <v>0</v>
      </c>
      <c r="AO59" s="1">
        <f t="shared" si="12"/>
        <v>0</v>
      </c>
      <c r="AP59" s="1">
        <f t="shared" si="12"/>
        <v>0</v>
      </c>
      <c r="AQ59" s="1">
        <f t="shared" si="12"/>
        <v>0</v>
      </c>
      <c r="AR59" s="1">
        <f t="shared" si="12"/>
        <v>0</v>
      </c>
      <c r="AS59" s="1">
        <f t="shared" si="12"/>
        <v>0</v>
      </c>
      <c r="AT59" s="1">
        <f t="shared" si="13"/>
        <v>0</v>
      </c>
      <c r="AU59" s="1">
        <f t="shared" si="13"/>
        <v>0</v>
      </c>
    </row>
    <row r="60" spans="3:47" ht="14.25" x14ac:dyDescent="0.7">
      <c r="C60" s="1">
        <f>IF(D60="","",VLOOKUP(D60,データ!A:C,2,FALSE))</f>
        <v>51</v>
      </c>
      <c r="D60" s="6" t="str">
        <f>IFERROR(通算成績!B21,"")</f>
        <v>坂元勇斗</v>
      </c>
      <c r="E60" s="1">
        <f t="shared" si="10"/>
        <v>0</v>
      </c>
      <c r="F60" s="1">
        <f t="shared" si="10"/>
        <v>0</v>
      </c>
      <c r="G60" s="1">
        <f t="shared" si="10"/>
        <v>0</v>
      </c>
      <c r="H60" s="1">
        <f t="shared" si="10"/>
        <v>0</v>
      </c>
      <c r="I60" s="1">
        <f t="shared" si="10"/>
        <v>0</v>
      </c>
      <c r="J60" s="1">
        <f t="shared" si="10"/>
        <v>0</v>
      </c>
      <c r="K60" s="1">
        <f t="shared" si="10"/>
        <v>0</v>
      </c>
      <c r="L60" s="1">
        <f t="shared" si="10"/>
        <v>0</v>
      </c>
      <c r="M60" s="1">
        <f t="shared" si="10"/>
        <v>0</v>
      </c>
      <c r="N60" s="1">
        <f t="shared" si="10"/>
        <v>0</v>
      </c>
      <c r="O60" s="1">
        <f t="shared" si="10"/>
        <v>0</v>
      </c>
      <c r="P60" s="1">
        <f t="shared" si="10"/>
        <v>0</v>
      </c>
      <c r="Q60" s="1">
        <f t="shared" si="10"/>
        <v>0</v>
      </c>
      <c r="R60" s="1">
        <f t="shared" si="10"/>
        <v>0</v>
      </c>
      <c r="S60" s="1">
        <f t="shared" si="10"/>
        <v>0</v>
      </c>
      <c r="T60" s="1">
        <f t="shared" si="10"/>
        <v>0</v>
      </c>
      <c r="U60" s="1">
        <f t="shared" si="11"/>
        <v>0</v>
      </c>
      <c r="V60" s="1">
        <f t="shared" si="11"/>
        <v>0</v>
      </c>
      <c r="W60" s="1">
        <f t="shared" si="11"/>
        <v>0</v>
      </c>
      <c r="X60" s="1">
        <f t="shared" si="11"/>
        <v>0</v>
      </c>
      <c r="Y60" s="1">
        <f t="shared" si="11"/>
        <v>0</v>
      </c>
      <c r="Z60" s="1">
        <f t="shared" si="11"/>
        <v>0</v>
      </c>
      <c r="AA60" s="1">
        <f t="shared" si="11"/>
        <v>0</v>
      </c>
      <c r="AD60" s="1">
        <f t="shared" si="12"/>
        <v>0</v>
      </c>
      <c r="AE60" s="1">
        <f t="shared" si="12"/>
        <v>0</v>
      </c>
      <c r="AF60" s="1">
        <f t="shared" si="12"/>
        <v>0</v>
      </c>
      <c r="AG60" s="1">
        <f t="shared" si="12"/>
        <v>0</v>
      </c>
      <c r="AH60" s="1">
        <f t="shared" si="12"/>
        <v>0</v>
      </c>
      <c r="AI60" s="1">
        <f t="shared" si="12"/>
        <v>0</v>
      </c>
      <c r="AJ60" s="1">
        <f t="shared" si="12"/>
        <v>0</v>
      </c>
      <c r="AK60" s="1">
        <f t="shared" si="12"/>
        <v>0</v>
      </c>
      <c r="AL60" s="1">
        <f t="shared" si="12"/>
        <v>0</v>
      </c>
      <c r="AM60" s="1">
        <f t="shared" si="12"/>
        <v>0</v>
      </c>
      <c r="AN60" s="1">
        <f t="shared" si="12"/>
        <v>0</v>
      </c>
      <c r="AO60" s="1">
        <f t="shared" si="12"/>
        <v>0</v>
      </c>
      <c r="AP60" s="1">
        <f t="shared" si="12"/>
        <v>0</v>
      </c>
      <c r="AQ60" s="1">
        <f t="shared" si="12"/>
        <v>0</v>
      </c>
      <c r="AR60" s="1">
        <f t="shared" si="12"/>
        <v>0</v>
      </c>
      <c r="AS60" s="1">
        <f t="shared" si="12"/>
        <v>0</v>
      </c>
      <c r="AT60" s="1">
        <f t="shared" si="13"/>
        <v>0</v>
      </c>
      <c r="AU60" s="1">
        <f t="shared" si="13"/>
        <v>0</v>
      </c>
    </row>
    <row r="61" spans="3:47" ht="14.25" x14ac:dyDescent="0.7">
      <c r="C61" s="1">
        <f>IF(D61="","",VLOOKUP(D61,データ!A:C,2,FALSE))</f>
        <v>53</v>
      </c>
      <c r="D61" s="6" t="str">
        <f>IFERROR(通算成績!B22,"")</f>
        <v>赤星圭一</v>
      </c>
      <c r="E61" s="1">
        <f t="shared" si="10"/>
        <v>1</v>
      </c>
      <c r="F61" s="1">
        <f t="shared" si="10"/>
        <v>1</v>
      </c>
      <c r="G61" s="1">
        <f t="shared" si="10"/>
        <v>1</v>
      </c>
      <c r="H61" s="1">
        <f t="shared" si="10"/>
        <v>0</v>
      </c>
      <c r="I61" s="1">
        <f t="shared" si="10"/>
        <v>0</v>
      </c>
      <c r="J61" s="1">
        <f t="shared" si="10"/>
        <v>1</v>
      </c>
      <c r="K61" s="1">
        <f t="shared" si="10"/>
        <v>0</v>
      </c>
      <c r="L61" s="1">
        <f t="shared" si="10"/>
        <v>0</v>
      </c>
      <c r="M61" s="1">
        <f t="shared" si="10"/>
        <v>0</v>
      </c>
      <c r="N61" s="1">
        <f t="shared" si="10"/>
        <v>0</v>
      </c>
      <c r="O61" s="1">
        <f t="shared" si="10"/>
        <v>0</v>
      </c>
      <c r="P61" s="1">
        <f t="shared" si="10"/>
        <v>0</v>
      </c>
      <c r="Q61" s="1">
        <f t="shared" si="10"/>
        <v>0</v>
      </c>
      <c r="R61" s="1">
        <f t="shared" si="10"/>
        <v>0</v>
      </c>
      <c r="S61" s="1">
        <f t="shared" si="10"/>
        <v>0</v>
      </c>
      <c r="T61" s="1">
        <f t="shared" si="10"/>
        <v>0</v>
      </c>
      <c r="U61" s="1">
        <f t="shared" si="11"/>
        <v>0</v>
      </c>
      <c r="V61" s="1">
        <f t="shared" si="11"/>
        <v>0</v>
      </c>
      <c r="W61" s="1">
        <f t="shared" si="11"/>
        <v>0</v>
      </c>
      <c r="X61" s="1">
        <f t="shared" si="11"/>
        <v>0</v>
      </c>
      <c r="Y61" s="1">
        <f t="shared" si="11"/>
        <v>0</v>
      </c>
      <c r="Z61" s="1">
        <f t="shared" si="11"/>
        <v>0</v>
      </c>
      <c r="AA61" s="1">
        <f t="shared" si="11"/>
        <v>0</v>
      </c>
      <c r="AD61" s="1">
        <f t="shared" si="12"/>
        <v>0</v>
      </c>
      <c r="AE61" s="1">
        <f t="shared" si="12"/>
        <v>0</v>
      </c>
      <c r="AF61" s="1">
        <f t="shared" si="12"/>
        <v>0</v>
      </c>
      <c r="AG61" s="1">
        <f t="shared" si="12"/>
        <v>0</v>
      </c>
      <c r="AH61" s="1">
        <f t="shared" si="12"/>
        <v>0</v>
      </c>
      <c r="AI61" s="1">
        <f t="shared" si="12"/>
        <v>0</v>
      </c>
      <c r="AJ61" s="1">
        <f t="shared" si="12"/>
        <v>0</v>
      </c>
      <c r="AK61" s="1">
        <f t="shared" si="12"/>
        <v>0</v>
      </c>
      <c r="AL61" s="1">
        <f t="shared" si="12"/>
        <v>0</v>
      </c>
      <c r="AM61" s="1">
        <f t="shared" si="12"/>
        <v>0</v>
      </c>
      <c r="AN61" s="1">
        <f t="shared" si="12"/>
        <v>0</v>
      </c>
      <c r="AO61" s="1">
        <f t="shared" si="12"/>
        <v>0</v>
      </c>
      <c r="AP61" s="1">
        <f t="shared" si="12"/>
        <v>0</v>
      </c>
      <c r="AQ61" s="1">
        <f t="shared" si="12"/>
        <v>0</v>
      </c>
      <c r="AR61" s="1">
        <f t="shared" si="12"/>
        <v>0</v>
      </c>
      <c r="AS61" s="1">
        <f t="shared" si="12"/>
        <v>0</v>
      </c>
      <c r="AT61" s="1">
        <f t="shared" si="13"/>
        <v>0</v>
      </c>
      <c r="AU61" s="1">
        <f t="shared" si="13"/>
        <v>0</v>
      </c>
    </row>
    <row r="62" spans="3:47" ht="14.25" x14ac:dyDescent="0.7">
      <c r="C62" s="1">
        <f>IF(D62="","",VLOOKUP(D62,データ!A:C,2,FALSE))</f>
        <v>85</v>
      </c>
      <c r="D62" s="6" t="str">
        <f>IFERROR(通算成績!B23,"")</f>
        <v>渡邊琥心</v>
      </c>
      <c r="E62" s="1">
        <f t="shared" si="10"/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>
        <f t="shared" si="10"/>
        <v>0</v>
      </c>
      <c r="L62" s="1">
        <f t="shared" si="10"/>
        <v>0</v>
      </c>
      <c r="M62" s="1">
        <f t="shared" si="10"/>
        <v>0</v>
      </c>
      <c r="N62" s="1">
        <f t="shared" si="10"/>
        <v>0</v>
      </c>
      <c r="O62" s="1">
        <f t="shared" si="10"/>
        <v>0</v>
      </c>
      <c r="P62" s="1">
        <f t="shared" si="10"/>
        <v>0</v>
      </c>
      <c r="Q62" s="1">
        <f t="shared" si="10"/>
        <v>0</v>
      </c>
      <c r="R62" s="1">
        <f t="shared" si="10"/>
        <v>0</v>
      </c>
      <c r="S62" s="1">
        <f t="shared" si="10"/>
        <v>0</v>
      </c>
      <c r="T62" s="1">
        <f t="shared" si="10"/>
        <v>0</v>
      </c>
      <c r="U62" s="1">
        <f t="shared" si="11"/>
        <v>0</v>
      </c>
      <c r="V62" s="1">
        <f t="shared" si="11"/>
        <v>0</v>
      </c>
      <c r="W62" s="1">
        <f t="shared" si="11"/>
        <v>0</v>
      </c>
      <c r="X62" s="1">
        <f t="shared" si="11"/>
        <v>0</v>
      </c>
      <c r="Y62" s="1">
        <f t="shared" si="11"/>
        <v>0</v>
      </c>
      <c r="Z62" s="1">
        <f t="shared" si="11"/>
        <v>0</v>
      </c>
      <c r="AA62" s="1">
        <f t="shared" si="11"/>
        <v>0</v>
      </c>
      <c r="AD62" s="1">
        <f t="shared" si="12"/>
        <v>0</v>
      </c>
      <c r="AE62" s="1">
        <f t="shared" si="12"/>
        <v>0</v>
      </c>
      <c r="AF62" s="1">
        <f t="shared" si="12"/>
        <v>0</v>
      </c>
      <c r="AG62" s="1">
        <f t="shared" si="12"/>
        <v>0</v>
      </c>
      <c r="AH62" s="1">
        <f t="shared" si="12"/>
        <v>0</v>
      </c>
      <c r="AI62" s="1">
        <f t="shared" si="12"/>
        <v>0</v>
      </c>
      <c r="AJ62" s="1">
        <f t="shared" si="12"/>
        <v>0</v>
      </c>
      <c r="AK62" s="1">
        <f t="shared" si="12"/>
        <v>0</v>
      </c>
      <c r="AL62" s="1">
        <f t="shared" si="12"/>
        <v>0</v>
      </c>
      <c r="AM62" s="1">
        <f t="shared" si="12"/>
        <v>0</v>
      </c>
      <c r="AN62" s="1">
        <f t="shared" si="12"/>
        <v>0</v>
      </c>
      <c r="AO62" s="1">
        <f t="shared" si="12"/>
        <v>0</v>
      </c>
      <c r="AP62" s="1">
        <f t="shared" si="12"/>
        <v>0</v>
      </c>
      <c r="AQ62" s="1">
        <f t="shared" si="12"/>
        <v>0</v>
      </c>
      <c r="AR62" s="1">
        <f t="shared" si="12"/>
        <v>0</v>
      </c>
      <c r="AS62" s="1">
        <f t="shared" si="12"/>
        <v>0</v>
      </c>
      <c r="AT62" s="1">
        <f t="shared" si="13"/>
        <v>0</v>
      </c>
      <c r="AU62" s="1">
        <f t="shared" si="13"/>
        <v>0</v>
      </c>
    </row>
    <row r="63" spans="3:47" ht="14.25" x14ac:dyDescent="0.7">
      <c r="C63" s="1">
        <f>IF(D63="","",VLOOKUP(D63,データ!A:C,2,FALSE))</f>
        <v>99</v>
      </c>
      <c r="D63" s="6" t="str">
        <f>IFERROR(通算成績!B24,"")</f>
        <v>片山大翔</v>
      </c>
      <c r="E63" s="1">
        <f t="shared" si="10"/>
        <v>0</v>
      </c>
      <c r="F63" s="1">
        <f t="shared" si="10"/>
        <v>0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>
        <f t="shared" si="10"/>
        <v>0</v>
      </c>
      <c r="L63" s="1">
        <f t="shared" si="10"/>
        <v>0</v>
      </c>
      <c r="M63" s="1">
        <f t="shared" si="10"/>
        <v>0</v>
      </c>
      <c r="N63" s="1">
        <f t="shared" si="10"/>
        <v>0</v>
      </c>
      <c r="O63" s="1">
        <f t="shared" si="10"/>
        <v>0</v>
      </c>
      <c r="P63" s="1">
        <f t="shared" si="10"/>
        <v>0</v>
      </c>
      <c r="Q63" s="1">
        <f t="shared" si="10"/>
        <v>0</v>
      </c>
      <c r="R63" s="1">
        <f t="shared" si="10"/>
        <v>0</v>
      </c>
      <c r="S63" s="1">
        <f t="shared" si="10"/>
        <v>0</v>
      </c>
      <c r="T63" s="1">
        <f t="shared" si="10"/>
        <v>0</v>
      </c>
      <c r="U63" s="1">
        <f t="shared" si="11"/>
        <v>0</v>
      </c>
      <c r="V63" s="1">
        <f t="shared" si="11"/>
        <v>0</v>
      </c>
      <c r="W63" s="1">
        <f t="shared" si="11"/>
        <v>0</v>
      </c>
      <c r="X63" s="1">
        <f t="shared" si="11"/>
        <v>0</v>
      </c>
      <c r="Y63" s="1">
        <f t="shared" si="11"/>
        <v>0</v>
      </c>
      <c r="Z63" s="1">
        <f t="shared" si="11"/>
        <v>0</v>
      </c>
      <c r="AA63" s="1">
        <f t="shared" si="11"/>
        <v>0</v>
      </c>
      <c r="AD63" s="1">
        <f t="shared" si="12"/>
        <v>0</v>
      </c>
      <c r="AE63" s="1">
        <f t="shared" si="12"/>
        <v>0</v>
      </c>
      <c r="AF63" s="1">
        <f t="shared" si="12"/>
        <v>0</v>
      </c>
      <c r="AG63" s="1">
        <f t="shared" si="12"/>
        <v>0</v>
      </c>
      <c r="AH63" s="1">
        <f t="shared" si="12"/>
        <v>0</v>
      </c>
      <c r="AI63" s="1">
        <f t="shared" si="12"/>
        <v>0</v>
      </c>
      <c r="AJ63" s="1">
        <f t="shared" si="12"/>
        <v>0</v>
      </c>
      <c r="AK63" s="1">
        <f t="shared" si="12"/>
        <v>0</v>
      </c>
      <c r="AL63" s="1">
        <f t="shared" si="12"/>
        <v>0</v>
      </c>
      <c r="AM63" s="1">
        <f t="shared" si="12"/>
        <v>0</v>
      </c>
      <c r="AN63" s="1">
        <f t="shared" si="12"/>
        <v>0</v>
      </c>
      <c r="AO63" s="1">
        <f t="shared" si="12"/>
        <v>0</v>
      </c>
      <c r="AP63" s="1">
        <f t="shared" si="12"/>
        <v>0</v>
      </c>
      <c r="AQ63" s="1">
        <f t="shared" si="12"/>
        <v>0</v>
      </c>
      <c r="AR63" s="1">
        <f t="shared" si="12"/>
        <v>0</v>
      </c>
      <c r="AS63" s="1">
        <f t="shared" si="12"/>
        <v>0</v>
      </c>
      <c r="AT63" s="1">
        <f t="shared" si="13"/>
        <v>0</v>
      </c>
      <c r="AU63" s="1">
        <f t="shared" si="13"/>
        <v>0</v>
      </c>
    </row>
    <row r="64" spans="3:47" ht="14.25" x14ac:dyDescent="0.7">
      <c r="C64" s="1" t="e">
        <f>IF(D64="","",VLOOKUP(D64,データ!A:C,2,FALSE))</f>
        <v>#N/A</v>
      </c>
      <c r="D64" s="6">
        <f>IFERROR(通算成績!B25,"")</f>
        <v>0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>
        <f t="shared" si="10"/>
        <v>0</v>
      </c>
      <c r="L64" s="1">
        <f t="shared" si="10"/>
        <v>0</v>
      </c>
      <c r="M64" s="1">
        <f t="shared" si="10"/>
        <v>0</v>
      </c>
      <c r="N64" s="1">
        <f t="shared" si="10"/>
        <v>0</v>
      </c>
      <c r="O64" s="1">
        <f t="shared" si="10"/>
        <v>0</v>
      </c>
      <c r="P64" s="1">
        <f t="shared" si="10"/>
        <v>0</v>
      </c>
      <c r="Q64" s="1">
        <f t="shared" si="10"/>
        <v>0</v>
      </c>
      <c r="R64" s="1">
        <f t="shared" si="10"/>
        <v>0</v>
      </c>
      <c r="S64" s="1">
        <f t="shared" si="10"/>
        <v>0</v>
      </c>
      <c r="T64" s="1">
        <f t="shared" si="10"/>
        <v>0</v>
      </c>
      <c r="U64" s="1">
        <f t="shared" si="11"/>
        <v>0</v>
      </c>
      <c r="V64" s="1">
        <f t="shared" si="11"/>
        <v>0</v>
      </c>
      <c r="W64" s="1">
        <f t="shared" si="11"/>
        <v>0</v>
      </c>
      <c r="X64" s="1">
        <f t="shared" si="11"/>
        <v>0</v>
      </c>
      <c r="Y64" s="1">
        <f t="shared" si="11"/>
        <v>0</v>
      </c>
      <c r="Z64" s="1">
        <f t="shared" si="11"/>
        <v>0</v>
      </c>
      <c r="AA64" s="1">
        <f t="shared" si="11"/>
        <v>0</v>
      </c>
      <c r="AD64" s="1">
        <f t="shared" si="12"/>
        <v>0</v>
      </c>
      <c r="AE64" s="1">
        <f t="shared" si="12"/>
        <v>0</v>
      </c>
      <c r="AF64" s="1">
        <f t="shared" si="12"/>
        <v>0</v>
      </c>
      <c r="AG64" s="1">
        <f t="shared" si="12"/>
        <v>0</v>
      </c>
      <c r="AH64" s="1">
        <f t="shared" si="12"/>
        <v>0</v>
      </c>
      <c r="AI64" s="1">
        <f t="shared" si="12"/>
        <v>0</v>
      </c>
      <c r="AJ64" s="1">
        <f t="shared" si="12"/>
        <v>0</v>
      </c>
      <c r="AK64" s="1">
        <f t="shared" si="12"/>
        <v>0</v>
      </c>
      <c r="AL64" s="1">
        <f t="shared" si="12"/>
        <v>0</v>
      </c>
      <c r="AM64" s="1">
        <f t="shared" si="12"/>
        <v>0</v>
      </c>
      <c r="AN64" s="1">
        <f t="shared" si="12"/>
        <v>0</v>
      </c>
      <c r="AO64" s="1">
        <f t="shared" si="12"/>
        <v>0</v>
      </c>
      <c r="AP64" s="1">
        <f t="shared" si="12"/>
        <v>0</v>
      </c>
      <c r="AQ64" s="1">
        <f t="shared" si="12"/>
        <v>0</v>
      </c>
      <c r="AR64" s="1">
        <f t="shared" si="12"/>
        <v>0</v>
      </c>
      <c r="AS64" s="1">
        <f t="shared" si="12"/>
        <v>0</v>
      </c>
      <c r="AT64" s="1">
        <f t="shared" si="13"/>
        <v>0</v>
      </c>
      <c r="AU64" s="1">
        <f t="shared" si="13"/>
        <v>0</v>
      </c>
    </row>
    <row r="65" spans="3:47" ht="14.25" x14ac:dyDescent="0.7">
      <c r="C65" s="1" t="e">
        <f>IF(D65="","",VLOOKUP(D65,データ!A:C,2,FALSE))</f>
        <v>#N/A</v>
      </c>
      <c r="D65" s="6" t="str">
        <f>IFERROR(通算成績!B26,"")</f>
        <v>合計</v>
      </c>
      <c r="E65" s="1">
        <f t="shared" si="10"/>
        <v>0</v>
      </c>
      <c r="F65" s="1">
        <f t="shared" si="10"/>
        <v>0</v>
      </c>
      <c r="G65" s="1">
        <f t="shared" si="10"/>
        <v>0</v>
      </c>
      <c r="H65" s="1">
        <f t="shared" si="10"/>
        <v>0</v>
      </c>
      <c r="I65" s="1">
        <f t="shared" si="10"/>
        <v>0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>
        <f t="shared" si="10"/>
        <v>0</v>
      </c>
      <c r="N65" s="1">
        <f t="shared" si="10"/>
        <v>0</v>
      </c>
      <c r="O65" s="1">
        <f t="shared" si="10"/>
        <v>0</v>
      </c>
      <c r="P65" s="1">
        <f t="shared" si="10"/>
        <v>0</v>
      </c>
      <c r="Q65" s="1">
        <f t="shared" si="10"/>
        <v>0</v>
      </c>
      <c r="R65" s="1">
        <f t="shared" si="10"/>
        <v>0</v>
      </c>
      <c r="S65" s="1">
        <f t="shared" si="10"/>
        <v>0</v>
      </c>
      <c r="T65" s="1">
        <f t="shared" si="10"/>
        <v>0</v>
      </c>
      <c r="U65" s="1">
        <f t="shared" si="11"/>
        <v>0</v>
      </c>
      <c r="V65" s="1">
        <f t="shared" si="11"/>
        <v>0</v>
      </c>
      <c r="W65" s="1">
        <f t="shared" si="11"/>
        <v>0</v>
      </c>
      <c r="X65" s="1">
        <f t="shared" si="11"/>
        <v>0</v>
      </c>
      <c r="Y65" s="1">
        <f t="shared" si="11"/>
        <v>0</v>
      </c>
      <c r="Z65" s="1">
        <f t="shared" si="11"/>
        <v>0</v>
      </c>
      <c r="AA65" s="1">
        <f t="shared" si="11"/>
        <v>0</v>
      </c>
      <c r="AD65" s="1">
        <f t="shared" si="12"/>
        <v>0</v>
      </c>
      <c r="AE65" s="1">
        <f t="shared" si="12"/>
        <v>0</v>
      </c>
      <c r="AF65" s="1">
        <f t="shared" si="12"/>
        <v>0</v>
      </c>
      <c r="AG65" s="1">
        <f t="shared" si="12"/>
        <v>0</v>
      </c>
      <c r="AH65" s="1">
        <f t="shared" si="12"/>
        <v>0</v>
      </c>
      <c r="AI65" s="1">
        <f t="shared" si="12"/>
        <v>0</v>
      </c>
      <c r="AJ65" s="1">
        <f t="shared" si="12"/>
        <v>0</v>
      </c>
      <c r="AK65" s="1">
        <f t="shared" si="12"/>
        <v>0</v>
      </c>
      <c r="AL65" s="1">
        <f t="shared" si="12"/>
        <v>0</v>
      </c>
      <c r="AM65" s="1">
        <f t="shared" si="12"/>
        <v>0</v>
      </c>
      <c r="AN65" s="1">
        <f t="shared" si="12"/>
        <v>0</v>
      </c>
      <c r="AO65" s="1">
        <f t="shared" si="12"/>
        <v>0</v>
      </c>
      <c r="AP65" s="1">
        <f t="shared" si="12"/>
        <v>0</v>
      </c>
      <c r="AQ65" s="1">
        <f t="shared" si="12"/>
        <v>0</v>
      </c>
      <c r="AR65" s="1">
        <f t="shared" si="12"/>
        <v>0</v>
      </c>
      <c r="AS65" s="1">
        <f t="shared" si="12"/>
        <v>0</v>
      </c>
      <c r="AT65" s="1">
        <f t="shared" si="13"/>
        <v>0</v>
      </c>
      <c r="AU65" s="1">
        <f t="shared" si="13"/>
        <v>0</v>
      </c>
    </row>
    <row r="66" spans="3:47" ht="14.25" x14ac:dyDescent="0.7">
      <c r="C66" s="1" t="e">
        <f>IF(D66="","",VLOOKUP(D66,データ!A:C,2,FALSE))</f>
        <v>#N/A</v>
      </c>
      <c r="D66" s="6">
        <f>IFERROR(通算成績!B27,"")</f>
        <v>0</v>
      </c>
      <c r="E66" s="1">
        <f t="shared" si="10"/>
        <v>0</v>
      </c>
      <c r="F66" s="1">
        <f t="shared" si="10"/>
        <v>0</v>
      </c>
      <c r="G66" s="1">
        <f t="shared" si="10"/>
        <v>0</v>
      </c>
      <c r="H66" s="1">
        <f t="shared" si="10"/>
        <v>0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>
        <f t="shared" si="10"/>
        <v>0</v>
      </c>
      <c r="N66" s="1">
        <f t="shared" si="10"/>
        <v>0</v>
      </c>
      <c r="O66" s="1">
        <f t="shared" si="10"/>
        <v>0</v>
      </c>
      <c r="P66" s="1">
        <f t="shared" si="10"/>
        <v>0</v>
      </c>
      <c r="Q66" s="1">
        <f t="shared" si="10"/>
        <v>0</v>
      </c>
      <c r="R66" s="1">
        <f t="shared" si="10"/>
        <v>0</v>
      </c>
      <c r="S66" s="1">
        <f t="shared" si="10"/>
        <v>0</v>
      </c>
      <c r="T66" s="1">
        <f t="shared" si="10"/>
        <v>0</v>
      </c>
      <c r="U66" s="1">
        <f t="shared" si="11"/>
        <v>0</v>
      </c>
      <c r="V66" s="1">
        <f t="shared" si="11"/>
        <v>0</v>
      </c>
      <c r="W66" s="1">
        <f t="shared" si="11"/>
        <v>0</v>
      </c>
      <c r="X66" s="1">
        <f t="shared" si="11"/>
        <v>0</v>
      </c>
      <c r="Y66" s="1">
        <f t="shared" si="11"/>
        <v>0</v>
      </c>
      <c r="Z66" s="1">
        <f t="shared" si="11"/>
        <v>0</v>
      </c>
      <c r="AA66" s="1">
        <f t="shared" si="11"/>
        <v>0</v>
      </c>
      <c r="AD66" s="1">
        <f t="shared" si="12"/>
        <v>0</v>
      </c>
      <c r="AE66" s="1">
        <f t="shared" si="12"/>
        <v>0</v>
      </c>
      <c r="AF66" s="1">
        <f t="shared" si="12"/>
        <v>0</v>
      </c>
      <c r="AG66" s="1">
        <f t="shared" si="12"/>
        <v>0</v>
      </c>
      <c r="AH66" s="1">
        <f t="shared" si="12"/>
        <v>0</v>
      </c>
      <c r="AI66" s="1">
        <f t="shared" si="12"/>
        <v>0</v>
      </c>
      <c r="AJ66" s="1">
        <f t="shared" si="12"/>
        <v>0</v>
      </c>
      <c r="AK66" s="1">
        <f t="shared" si="12"/>
        <v>0</v>
      </c>
      <c r="AL66" s="1">
        <f t="shared" si="12"/>
        <v>0</v>
      </c>
      <c r="AM66" s="1">
        <f t="shared" si="12"/>
        <v>0</v>
      </c>
      <c r="AN66" s="1">
        <f t="shared" si="13"/>
        <v>0</v>
      </c>
      <c r="AO66" s="1">
        <f t="shared" si="13"/>
        <v>0</v>
      </c>
      <c r="AP66" s="1">
        <f t="shared" si="13"/>
        <v>0</v>
      </c>
      <c r="AQ66" s="1">
        <f t="shared" si="13"/>
        <v>0</v>
      </c>
      <c r="AR66" s="1">
        <f t="shared" si="13"/>
        <v>0</v>
      </c>
      <c r="AS66" s="1">
        <f t="shared" si="13"/>
        <v>0</v>
      </c>
      <c r="AT66" s="1">
        <f t="shared" si="13"/>
        <v>0</v>
      </c>
      <c r="AU66" s="1">
        <f t="shared" si="13"/>
        <v>0</v>
      </c>
    </row>
    <row r="67" spans="3:47" ht="14.25" x14ac:dyDescent="0.7">
      <c r="C67" s="1" t="str">
        <f>IF(D67="","",VLOOKUP(D67,データ!A:C,2,FALSE))</f>
        <v/>
      </c>
      <c r="D67" s="6" t="str">
        <f>IFERROR(通算成績!#REF!,"")</f>
        <v/>
      </c>
      <c r="E67" s="1">
        <f t="shared" si="10"/>
        <v>0</v>
      </c>
      <c r="F67" s="1">
        <f t="shared" si="10"/>
        <v>0</v>
      </c>
      <c r="G67" s="1">
        <f t="shared" si="10"/>
        <v>0</v>
      </c>
      <c r="H67" s="1">
        <f t="shared" si="10"/>
        <v>0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>
        <f t="shared" si="10"/>
        <v>0</v>
      </c>
      <c r="N67" s="1">
        <f t="shared" si="10"/>
        <v>0</v>
      </c>
      <c r="O67" s="1">
        <f t="shared" si="10"/>
        <v>0</v>
      </c>
      <c r="P67" s="1">
        <f t="shared" si="10"/>
        <v>0</v>
      </c>
      <c r="Q67" s="1">
        <f t="shared" si="10"/>
        <v>0</v>
      </c>
      <c r="R67" s="1">
        <f t="shared" si="10"/>
        <v>0</v>
      </c>
      <c r="S67" s="1">
        <f t="shared" si="10"/>
        <v>0</v>
      </c>
      <c r="T67" s="1">
        <f t="shared" si="10"/>
        <v>0</v>
      </c>
      <c r="U67" s="1">
        <f t="shared" si="11"/>
        <v>0</v>
      </c>
      <c r="V67" s="1">
        <f t="shared" si="11"/>
        <v>0</v>
      </c>
      <c r="W67" s="1">
        <f t="shared" si="11"/>
        <v>0</v>
      </c>
      <c r="X67" s="1">
        <f t="shared" si="11"/>
        <v>0</v>
      </c>
      <c r="Y67" s="1">
        <f t="shared" si="11"/>
        <v>0</v>
      </c>
      <c r="Z67" s="1">
        <f t="shared" si="11"/>
        <v>0</v>
      </c>
      <c r="AA67" s="1">
        <f t="shared" si="11"/>
        <v>0</v>
      </c>
      <c r="AD67" s="1">
        <f t="shared" si="12"/>
        <v>0</v>
      </c>
      <c r="AE67" s="1">
        <f t="shared" si="12"/>
        <v>0</v>
      </c>
      <c r="AF67" s="1">
        <f t="shared" si="12"/>
        <v>0</v>
      </c>
      <c r="AG67" s="1">
        <f t="shared" si="12"/>
        <v>0</v>
      </c>
      <c r="AH67" s="1">
        <f t="shared" si="12"/>
        <v>0</v>
      </c>
      <c r="AI67" s="1">
        <f t="shared" si="12"/>
        <v>0</v>
      </c>
      <c r="AJ67" s="1">
        <f t="shared" si="12"/>
        <v>0</v>
      </c>
      <c r="AK67" s="1">
        <f t="shared" si="12"/>
        <v>0</v>
      </c>
      <c r="AL67" s="1">
        <f t="shared" si="12"/>
        <v>0</v>
      </c>
      <c r="AM67" s="1">
        <f t="shared" si="12"/>
        <v>0</v>
      </c>
      <c r="AN67" s="1">
        <f t="shared" si="13"/>
        <v>0</v>
      </c>
      <c r="AO67" s="1">
        <f t="shared" si="13"/>
        <v>0</v>
      </c>
      <c r="AP67" s="1">
        <f t="shared" si="13"/>
        <v>0</v>
      </c>
      <c r="AQ67" s="1">
        <f t="shared" si="13"/>
        <v>0</v>
      </c>
      <c r="AR67" s="1">
        <f t="shared" si="13"/>
        <v>0</v>
      </c>
      <c r="AS67" s="1">
        <f t="shared" si="13"/>
        <v>0</v>
      </c>
      <c r="AT67" s="1">
        <f t="shared" si="13"/>
        <v>0</v>
      </c>
      <c r="AU67" s="1">
        <f t="shared" si="13"/>
        <v>0</v>
      </c>
    </row>
    <row r="68" spans="3:47" ht="14.25" x14ac:dyDescent="0.7">
      <c r="C68" s="1" t="str">
        <f>IF(D68="","",VLOOKUP(D68,データ!A:C,2,FALSE))</f>
        <v/>
      </c>
      <c r="D68" s="6" t="str">
        <f>IFERROR(通算成績!#REF!,"")</f>
        <v/>
      </c>
      <c r="E68" s="1">
        <f t="shared" si="10"/>
        <v>0</v>
      </c>
      <c r="F68" s="1">
        <f t="shared" si="10"/>
        <v>0</v>
      </c>
      <c r="G68" s="1">
        <f t="shared" si="10"/>
        <v>0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>
        <f t="shared" si="10"/>
        <v>0</v>
      </c>
      <c r="N68" s="1">
        <f t="shared" si="10"/>
        <v>0</v>
      </c>
      <c r="O68" s="1">
        <f t="shared" si="10"/>
        <v>0</v>
      </c>
      <c r="P68" s="1">
        <f t="shared" si="10"/>
        <v>0</v>
      </c>
      <c r="Q68" s="1">
        <f t="shared" si="10"/>
        <v>0</v>
      </c>
      <c r="R68" s="1">
        <f t="shared" si="10"/>
        <v>0</v>
      </c>
      <c r="S68" s="1">
        <f t="shared" si="10"/>
        <v>0</v>
      </c>
      <c r="T68" s="1">
        <f t="shared" si="10"/>
        <v>0</v>
      </c>
      <c r="U68" s="1">
        <f t="shared" si="11"/>
        <v>0</v>
      </c>
      <c r="V68" s="1">
        <f t="shared" si="11"/>
        <v>0</v>
      </c>
      <c r="W68" s="1">
        <f t="shared" si="11"/>
        <v>0</v>
      </c>
      <c r="X68" s="1">
        <f t="shared" si="11"/>
        <v>0</v>
      </c>
      <c r="Y68" s="1">
        <f t="shared" si="11"/>
        <v>0</v>
      </c>
      <c r="Z68" s="1">
        <f t="shared" si="11"/>
        <v>0</v>
      </c>
      <c r="AA68" s="1">
        <f t="shared" si="11"/>
        <v>0</v>
      </c>
      <c r="AD68" s="1">
        <f t="shared" si="12"/>
        <v>0</v>
      </c>
      <c r="AE68" s="1">
        <f t="shared" si="12"/>
        <v>0</v>
      </c>
      <c r="AF68" s="1">
        <f t="shared" si="12"/>
        <v>0</v>
      </c>
      <c r="AG68" s="1">
        <f t="shared" si="12"/>
        <v>0</v>
      </c>
      <c r="AH68" s="1">
        <f t="shared" si="12"/>
        <v>0</v>
      </c>
      <c r="AI68" s="1">
        <f t="shared" si="12"/>
        <v>0</v>
      </c>
      <c r="AJ68" s="1">
        <f t="shared" si="12"/>
        <v>0</v>
      </c>
      <c r="AK68" s="1">
        <f t="shared" si="12"/>
        <v>0</v>
      </c>
      <c r="AL68" s="1">
        <f t="shared" si="12"/>
        <v>0</v>
      </c>
      <c r="AM68" s="1">
        <f t="shared" si="12"/>
        <v>0</v>
      </c>
      <c r="AN68" s="1">
        <f t="shared" si="13"/>
        <v>0</v>
      </c>
      <c r="AO68" s="1">
        <f t="shared" si="13"/>
        <v>0</v>
      </c>
      <c r="AP68" s="1">
        <f t="shared" si="13"/>
        <v>0</v>
      </c>
      <c r="AQ68" s="1">
        <f t="shared" si="13"/>
        <v>0</v>
      </c>
      <c r="AR68" s="1">
        <f t="shared" si="13"/>
        <v>0</v>
      </c>
      <c r="AS68" s="1">
        <f t="shared" si="13"/>
        <v>0</v>
      </c>
      <c r="AT68" s="1">
        <f t="shared" si="13"/>
        <v>0</v>
      </c>
      <c r="AU68" s="1">
        <f t="shared" si="13"/>
        <v>0</v>
      </c>
    </row>
    <row r="69" spans="3:47" ht="14.25" x14ac:dyDescent="0.7">
      <c r="C69" s="1" t="e">
        <f>IF(D69="","",VLOOKUP(D69,データ!A:C,2,FALSE))</f>
        <v>#N/A</v>
      </c>
      <c r="D69" s="6">
        <f>IFERROR(通算成績!B29,"")</f>
        <v>0</v>
      </c>
      <c r="E69" s="1">
        <f t="shared" si="10"/>
        <v>0</v>
      </c>
      <c r="F69" s="1">
        <f t="shared" si="10"/>
        <v>0</v>
      </c>
      <c r="G69" s="1">
        <f t="shared" si="10"/>
        <v>0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>
        <f t="shared" si="10"/>
        <v>0</v>
      </c>
      <c r="N69" s="1">
        <f t="shared" si="10"/>
        <v>0</v>
      </c>
      <c r="O69" s="1">
        <f t="shared" si="10"/>
        <v>0</v>
      </c>
      <c r="P69" s="1">
        <f t="shared" si="10"/>
        <v>0</v>
      </c>
      <c r="Q69" s="1">
        <f t="shared" si="10"/>
        <v>0</v>
      </c>
      <c r="R69" s="1">
        <f t="shared" si="10"/>
        <v>0</v>
      </c>
      <c r="S69" s="1">
        <f t="shared" si="10"/>
        <v>0</v>
      </c>
      <c r="T69" s="1">
        <f t="shared" si="10"/>
        <v>0</v>
      </c>
      <c r="U69" s="1">
        <f t="shared" si="11"/>
        <v>0</v>
      </c>
      <c r="V69" s="1">
        <f t="shared" si="11"/>
        <v>0</v>
      </c>
      <c r="W69" s="1">
        <f t="shared" si="11"/>
        <v>0</v>
      </c>
      <c r="X69" s="1">
        <f t="shared" si="11"/>
        <v>0</v>
      </c>
      <c r="Y69" s="1">
        <f t="shared" si="11"/>
        <v>0</v>
      </c>
      <c r="Z69" s="1">
        <f t="shared" si="11"/>
        <v>0</v>
      </c>
      <c r="AA69" s="1">
        <f t="shared" si="11"/>
        <v>0</v>
      </c>
      <c r="AD69" s="1">
        <f t="shared" si="12"/>
        <v>0</v>
      </c>
      <c r="AE69" s="1">
        <f t="shared" si="12"/>
        <v>0</v>
      </c>
      <c r="AF69" s="1">
        <f t="shared" si="12"/>
        <v>0</v>
      </c>
      <c r="AG69" s="1">
        <f t="shared" si="12"/>
        <v>0</v>
      </c>
      <c r="AH69" s="1">
        <f t="shared" si="12"/>
        <v>0</v>
      </c>
      <c r="AI69" s="1">
        <f t="shared" si="12"/>
        <v>0</v>
      </c>
      <c r="AJ69" s="1">
        <f t="shared" si="12"/>
        <v>0</v>
      </c>
      <c r="AK69" s="1">
        <f t="shared" si="12"/>
        <v>0</v>
      </c>
      <c r="AL69" s="1">
        <f t="shared" si="12"/>
        <v>0</v>
      </c>
      <c r="AM69" s="1">
        <f t="shared" si="12"/>
        <v>0</v>
      </c>
      <c r="AN69" s="1">
        <f t="shared" si="13"/>
        <v>0</v>
      </c>
      <c r="AO69" s="1">
        <f t="shared" si="13"/>
        <v>0</v>
      </c>
      <c r="AP69" s="1">
        <f t="shared" si="13"/>
        <v>0</v>
      </c>
      <c r="AQ69" s="1">
        <f t="shared" si="13"/>
        <v>0</v>
      </c>
      <c r="AR69" s="1">
        <f t="shared" si="13"/>
        <v>0</v>
      </c>
      <c r="AS69" s="1">
        <f t="shared" si="13"/>
        <v>0</v>
      </c>
      <c r="AT69" s="1">
        <f t="shared" si="13"/>
        <v>0</v>
      </c>
      <c r="AU69" s="1">
        <f t="shared" si="13"/>
        <v>0</v>
      </c>
    </row>
    <row r="70" spans="3:47" ht="14.25" x14ac:dyDescent="0.7">
      <c r="C70" s="1" t="e">
        <f>IF(D70="","",VLOOKUP(D70,データ!A:C,2,FALSE))</f>
        <v>#N/A</v>
      </c>
      <c r="D70" s="6">
        <f>IFERROR(通算成績!B30,"")</f>
        <v>0</v>
      </c>
      <c r="E70" s="1">
        <f t="shared" si="10"/>
        <v>0</v>
      </c>
      <c r="F70" s="1">
        <f t="shared" si="10"/>
        <v>0</v>
      </c>
      <c r="G70" s="1">
        <f t="shared" si="10"/>
        <v>0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>
        <f t="shared" si="10"/>
        <v>0</v>
      </c>
      <c r="N70" s="1">
        <f t="shared" si="10"/>
        <v>0</v>
      </c>
      <c r="O70" s="1">
        <f t="shared" si="10"/>
        <v>0</v>
      </c>
      <c r="P70" s="1">
        <f t="shared" si="10"/>
        <v>0</v>
      </c>
      <c r="Q70" s="1">
        <f t="shared" si="10"/>
        <v>0</v>
      </c>
      <c r="R70" s="1">
        <f t="shared" si="10"/>
        <v>0</v>
      </c>
      <c r="S70" s="1">
        <f t="shared" si="10"/>
        <v>0</v>
      </c>
      <c r="T70" s="1">
        <f t="shared" si="10"/>
        <v>0</v>
      </c>
      <c r="U70" s="1">
        <f t="shared" si="11"/>
        <v>0</v>
      </c>
      <c r="V70" s="1">
        <f t="shared" si="11"/>
        <v>0</v>
      </c>
      <c r="W70" s="1">
        <f t="shared" si="11"/>
        <v>0</v>
      </c>
      <c r="X70" s="1">
        <f t="shared" si="11"/>
        <v>0</v>
      </c>
      <c r="Y70" s="1">
        <f t="shared" si="11"/>
        <v>0</v>
      </c>
      <c r="Z70" s="1">
        <f t="shared" si="11"/>
        <v>0</v>
      </c>
      <c r="AA70" s="1">
        <f t="shared" si="11"/>
        <v>0</v>
      </c>
      <c r="AD70" s="1">
        <f t="shared" si="12"/>
        <v>0</v>
      </c>
      <c r="AE70" s="1">
        <f t="shared" si="12"/>
        <v>0</v>
      </c>
      <c r="AF70" s="1">
        <f t="shared" si="12"/>
        <v>0</v>
      </c>
      <c r="AG70" s="1">
        <f t="shared" si="12"/>
        <v>0</v>
      </c>
      <c r="AH70" s="1">
        <f t="shared" si="12"/>
        <v>0</v>
      </c>
      <c r="AI70" s="1">
        <f t="shared" si="12"/>
        <v>0</v>
      </c>
      <c r="AJ70" s="1">
        <f t="shared" si="12"/>
        <v>0</v>
      </c>
      <c r="AK70" s="1">
        <f t="shared" si="12"/>
        <v>0</v>
      </c>
      <c r="AL70" s="1">
        <f t="shared" si="12"/>
        <v>0</v>
      </c>
      <c r="AM70" s="1">
        <f t="shared" si="12"/>
        <v>0</v>
      </c>
      <c r="AN70" s="1">
        <f t="shared" si="13"/>
        <v>0</v>
      </c>
      <c r="AO70" s="1">
        <f t="shared" si="13"/>
        <v>0</v>
      </c>
      <c r="AP70" s="1">
        <f t="shared" si="13"/>
        <v>0</v>
      </c>
      <c r="AQ70" s="1">
        <f t="shared" si="13"/>
        <v>0</v>
      </c>
      <c r="AR70" s="1">
        <f t="shared" si="13"/>
        <v>0</v>
      </c>
      <c r="AS70" s="1">
        <f t="shared" si="13"/>
        <v>0</v>
      </c>
      <c r="AT70" s="1">
        <f t="shared" si="13"/>
        <v>0</v>
      </c>
      <c r="AU70" s="1">
        <f t="shared" si="13"/>
        <v>0</v>
      </c>
    </row>
    <row r="71" spans="3:47" ht="14.25" x14ac:dyDescent="0.7">
      <c r="E71" s="1">
        <v>2</v>
      </c>
      <c r="F71" s="1">
        <v>3</v>
      </c>
      <c r="G71" s="1">
        <v>4</v>
      </c>
      <c r="H71" s="1">
        <v>5</v>
      </c>
      <c r="I71" s="1">
        <v>6</v>
      </c>
      <c r="J71" s="1">
        <v>7</v>
      </c>
      <c r="K71" s="1">
        <v>8</v>
      </c>
      <c r="L71" s="1">
        <v>9</v>
      </c>
      <c r="M71" s="1">
        <v>10</v>
      </c>
      <c r="N71" s="1">
        <v>11</v>
      </c>
      <c r="O71" s="1">
        <v>12</v>
      </c>
      <c r="P71" s="1">
        <v>13</v>
      </c>
      <c r="Q71" s="1">
        <v>14</v>
      </c>
      <c r="R71" s="1">
        <v>15</v>
      </c>
      <c r="S71" s="1">
        <v>16</v>
      </c>
      <c r="T71" s="1">
        <v>17</v>
      </c>
      <c r="U71" s="1">
        <v>18</v>
      </c>
      <c r="V71" s="1">
        <v>19</v>
      </c>
      <c r="W71" s="1">
        <v>20</v>
      </c>
      <c r="X71" s="1">
        <v>21</v>
      </c>
      <c r="Y71" s="1">
        <v>22</v>
      </c>
      <c r="Z71" s="1">
        <v>23</v>
      </c>
      <c r="AA71" s="1">
        <v>24</v>
      </c>
      <c r="AD71" s="1">
        <v>2</v>
      </c>
      <c r="AE71" s="1">
        <v>3</v>
      </c>
      <c r="AF71" s="1">
        <v>4</v>
      </c>
      <c r="AG71" s="1">
        <v>5</v>
      </c>
      <c r="AH71" s="1">
        <v>6</v>
      </c>
      <c r="AI71" s="1">
        <v>7</v>
      </c>
      <c r="AJ71" s="1">
        <v>8</v>
      </c>
      <c r="AK71" s="1">
        <v>9</v>
      </c>
      <c r="AL71" s="1">
        <v>10</v>
      </c>
      <c r="AM71" s="1">
        <v>11</v>
      </c>
      <c r="AN71" s="1">
        <v>12</v>
      </c>
      <c r="AO71" s="1">
        <v>13</v>
      </c>
      <c r="AP71" s="1">
        <v>14</v>
      </c>
      <c r="AQ71" s="1">
        <v>15</v>
      </c>
      <c r="AR71" s="1">
        <v>16</v>
      </c>
      <c r="AS71" s="1">
        <v>17</v>
      </c>
      <c r="AT71" s="1">
        <v>18</v>
      </c>
      <c r="AU71" s="1">
        <v>19</v>
      </c>
    </row>
  </sheetData>
  <mergeCells count="17">
    <mergeCell ref="AJ9:AK9"/>
    <mergeCell ref="AH2:AU2"/>
    <mergeCell ref="AH1:AU1"/>
    <mergeCell ref="AB8:AU8"/>
    <mergeCell ref="C4:C6"/>
    <mergeCell ref="D4:F4"/>
    <mergeCell ref="D5:F5"/>
    <mergeCell ref="D6:F6"/>
    <mergeCell ref="A8:AA8"/>
    <mergeCell ref="A1:D1"/>
    <mergeCell ref="E1:O1"/>
    <mergeCell ref="P1:AB1"/>
    <mergeCell ref="AC1:AG1"/>
    <mergeCell ref="A2:D2"/>
    <mergeCell ref="E2:O2"/>
    <mergeCell ref="P2:AB2"/>
    <mergeCell ref="AE2:AG2"/>
  </mergeCells>
  <phoneticPr fontId="2"/>
  <dataValidations count="5">
    <dataValidation type="list" allowBlank="1" showInputMessage="1" showErrorMessage="1" promptTitle="守備位置" prompt="守備位置を選択してください" sqref="B10:B29" xr:uid="{8EEE68DD-8D63-41FC-B7AF-B762DA08402F}">
      <formula1>"投,捕,一,二,三,遊,左,中,右,DH,PH,PR"</formula1>
    </dataValidation>
    <dataValidation type="time" allowBlank="1" showInputMessage="1" showErrorMessage="1" promptTitle="試合終了時間" prompt="試合終了時間を入力してください" sqref="AE2:AG2" xr:uid="{BC6C2879-E41A-4E85-A687-FD19E9C1CBCE}">
      <formula1>0</formula1>
      <formula2>0.999305555555556</formula2>
    </dataValidation>
    <dataValidation type="time" allowBlank="1" showInputMessage="1" showErrorMessage="1" promptTitle="試合開始時間" prompt="試合開始時間を入力してください" sqref="AC2" xr:uid="{50BBFACD-3CB2-4E81-B8D6-60F109FFC6B7}">
      <formula1>0</formula1>
      <formula2>0.999305555555556</formula2>
    </dataValidation>
    <dataValidation type="date" allowBlank="1" showInputMessage="1" showErrorMessage="1" promptTitle="日付入力" prompt="日付を入力してください" sqref="A2:D2" xr:uid="{87995AB3-9523-4BCA-9510-9C3BCC57F475}">
      <formula1>45017</formula1>
      <formula2>45747</formula2>
    </dataValidation>
    <dataValidation type="list" allowBlank="1" showInputMessage="1" showErrorMessage="1" promptTitle="勝敗" prompt="勝敗を選択してください" sqref="C4:C6" xr:uid="{7B359A4C-4733-45CF-9E5A-120300340595}">
      <formula1>"○,●,△"</formula1>
    </dataValidation>
  </dataValidations>
  <pageMargins left="0.7" right="0.7" top="0.75" bottom="0.75" header="0.3" footer="0.3"/>
  <pageSetup paperSize="9" scale="64"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選手名" prompt="選手目を選択してください" xr:uid="{10E12160-FA6E-465D-8414-3E216078C9FE}">
          <x14:formula1>
            <xm:f>データ!$A:$A</xm:f>
          </x14:formula1>
          <xm:sqref>AC10:AC29 D10:D29 D41:D70</xm:sqref>
        </x14:dataValidation>
        <x14:dataValidation type="list" allowBlank="1" showInputMessage="1" showErrorMessage="1" promptTitle="後攻" prompt="後攻チームを選択してください" xr:uid="{8D917434-19F1-4559-A279-ACC943635432}">
          <x14:formula1>
            <xm:f>データ!$G:$G</xm:f>
          </x14:formula1>
          <xm:sqref>D6</xm:sqref>
        </x14:dataValidation>
        <x14:dataValidation type="list" allowBlank="1" showInputMessage="1" showErrorMessage="1" promptTitle="先攻" prompt="先攻チームを選択してください" xr:uid="{18641EFD-C3D5-4A56-B348-DFC354ADDE71}">
          <x14:formula1>
            <xm:f>データ!$G:$G</xm:f>
          </x14:formula1>
          <xm:sqref>D5</xm:sqref>
        </x14:dataValidation>
        <x14:dataValidation type="list" allowBlank="1" showInputMessage="1" showErrorMessage="1" promptTitle="球場名" prompt="球場名を選択してください" xr:uid="{C6DCE39B-F483-4E36-AB17-8B0C86E101C8}">
          <x14:formula1>
            <xm:f>データ!$I:$I</xm:f>
          </x14:formula1>
          <xm:sqref>AH2</xm:sqref>
        </x14:dataValidation>
        <x14:dataValidation type="list" allowBlank="1" showInputMessage="1" showErrorMessage="1" promptTitle="対戦相手" prompt="対戦相手を選択してください" xr:uid="{CF85C684-B129-4354-BE87-CD4CA6C42219}">
          <x14:formula1>
            <xm:f>データ!$G:$G</xm:f>
          </x14:formula1>
          <xm:sqref>P2:AB2</xm:sqref>
        </x14:dataValidation>
        <x14:dataValidation type="list" allowBlank="1" showInputMessage="1" showErrorMessage="1" promptTitle="大会名" prompt="大会名を選択してください" xr:uid="{D2C002F9-C905-48D1-BEFE-9378F9D288E5}">
          <x14:formula1>
            <xm:f>データ!$E:$E</xm:f>
          </x14:formula1>
          <xm:sqref>E2:O2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操作シート</vt:lpstr>
      <vt:lpstr>通算成績</vt:lpstr>
      <vt:lpstr>指標</vt:lpstr>
      <vt:lpstr>テンプレート</vt:lpstr>
      <vt:lpstr>データ</vt:lpstr>
      <vt:lpstr>2025.2.27九州工業大学（戸畑）②</vt:lpstr>
      <vt:lpstr>2025.2.27九州工業大学（戸畑）①</vt:lpstr>
      <vt:lpstr>2025.2.22Gold Nuts</vt:lpstr>
      <vt:lpstr>2024.10.26北九州市立</vt:lpstr>
      <vt:lpstr>2024.10.26福岡工業</vt:lpstr>
      <vt:lpstr>2024.10.12九州</vt:lpstr>
      <vt:lpstr>2024.7.6北九州Oruris</vt:lpstr>
      <vt:lpstr>2024.6.16西日本工業</vt:lpstr>
      <vt:lpstr>2024.6.16西九州</vt:lpstr>
      <vt:lpstr>2024.6.15福岡工業</vt:lpstr>
      <vt:lpstr>2024.5.25九州</vt:lpstr>
      <vt:lpstr>2024.5.25中村学園</vt:lpstr>
      <vt:lpstr>2024.5.3北九州市立②</vt:lpstr>
      <vt:lpstr>2024.5.3北九州市立①</vt:lpstr>
      <vt:lpstr>2024.4.20九州産業</vt:lpstr>
      <vt:lpstr>2024.4.13北九州市立</vt:lpstr>
      <vt:lpstr>2023.10.21九州共立</vt:lpstr>
      <vt:lpstr>2023.10.21九州産業</vt:lpstr>
      <vt:lpstr>2023.10.14北九州市立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水葉 友野</dc:creator>
  <cp:lastModifiedBy>FUKUMOTO Yosuke</cp:lastModifiedBy>
  <cp:lastPrinted>2024-06-19T05:02:38Z</cp:lastPrinted>
  <dcterms:created xsi:type="dcterms:W3CDTF">2024-04-15T03:31:53Z</dcterms:created>
  <dcterms:modified xsi:type="dcterms:W3CDTF">2025-03-21T06:29:58Z</dcterms:modified>
</cp:coreProperties>
</file>